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7020" tabRatio="600" firstSheet="8" activeTab="11" autoFilterDateGrouping="1"/>
  </bookViews>
  <sheets>
    <sheet xmlns:r="http://schemas.openxmlformats.org/officeDocument/2006/relationships" name="目录1" sheetId="1" state="visible" r:id="rId1"/>
    <sheet xmlns:r="http://schemas.openxmlformats.org/officeDocument/2006/relationships" name="目录2" sheetId="2" state="visible" r:id="rId2"/>
    <sheet xmlns:r="http://schemas.openxmlformats.org/officeDocument/2006/relationships" name="撤销保护记录" sheetId="3" state="visible" r:id="rId3"/>
    <sheet xmlns:r="http://schemas.openxmlformats.org/officeDocument/2006/relationships" name="项目信息" sheetId="4" state="visible" r:id="rId4"/>
    <sheet xmlns:r="http://schemas.openxmlformats.org/officeDocument/2006/relationships" name="辅助检查汇总表" sheetId="5" state="visible" r:id="rId5"/>
    <sheet xmlns:r="http://schemas.openxmlformats.org/officeDocument/2006/relationships" name="历资表" sheetId="6" state="visible" r:id="rId6"/>
    <sheet xmlns:r="http://schemas.openxmlformats.org/officeDocument/2006/relationships" name="历利表" sheetId="7" state="visible" r:id="rId7"/>
    <sheet xmlns:r="http://schemas.openxmlformats.org/officeDocument/2006/relationships" name="历现表" sheetId="8" state="visible" r:id="rId8"/>
    <sheet xmlns:r="http://schemas.openxmlformats.org/officeDocument/2006/relationships" name="历资调整后表" sheetId="9" state="visible" r:id="rId9"/>
    <sheet xmlns:r="http://schemas.openxmlformats.org/officeDocument/2006/relationships" name="历利调整后表" sheetId="10" state="visible" r:id="rId10"/>
    <sheet xmlns:r="http://schemas.openxmlformats.org/officeDocument/2006/relationships" name="评估结果汇总表" sheetId="11" state="visible" r:id="rId11"/>
    <sheet xmlns:r="http://schemas.openxmlformats.org/officeDocument/2006/relationships" name="净现金流计算表" sheetId="12" state="visible" r:id="rId12"/>
    <sheet xmlns:r="http://schemas.openxmlformats.org/officeDocument/2006/relationships" name="主要产品及服务" sheetId="13" state="visible" r:id="rId13"/>
    <sheet xmlns:r="http://schemas.openxmlformats.org/officeDocument/2006/relationships" name="营业收入表" sheetId="14" state="visible" r:id="rId14"/>
    <sheet xmlns:r="http://schemas.openxmlformats.org/officeDocument/2006/relationships" name="营业收入附表" sheetId="15" state="visible" r:id="rId15"/>
    <sheet xmlns:r="http://schemas.openxmlformats.org/officeDocument/2006/relationships" name="营业成本表" sheetId="16" state="visible" r:id="rId16"/>
    <sheet xmlns:r="http://schemas.openxmlformats.org/officeDocument/2006/relationships" name="营业成本附表" sheetId="17" state="visible" r:id="rId17"/>
    <sheet xmlns:r="http://schemas.openxmlformats.org/officeDocument/2006/relationships" name="人工成本表" sheetId="18" state="visible" r:id="rId18"/>
    <sheet xmlns:r="http://schemas.openxmlformats.org/officeDocument/2006/relationships" name="制造费用表" sheetId="19" state="visible" r:id="rId19"/>
    <sheet xmlns:r="http://schemas.openxmlformats.org/officeDocument/2006/relationships" name="税金及附加表" sheetId="20" state="visible" r:id="rId20"/>
    <sheet xmlns:r="http://schemas.openxmlformats.org/officeDocument/2006/relationships" name="增值税表" sheetId="21" state="visible" r:id="rId21"/>
    <sheet xmlns:r="http://schemas.openxmlformats.org/officeDocument/2006/relationships" name="销售费用表" sheetId="22" state="visible" r:id="rId22"/>
    <sheet xmlns:r="http://schemas.openxmlformats.org/officeDocument/2006/relationships" name="管理费用表" sheetId="23" state="visible" r:id="rId23"/>
    <sheet xmlns:r="http://schemas.openxmlformats.org/officeDocument/2006/relationships" name="研发费用表" sheetId="24" state="visible" r:id="rId24"/>
    <sheet xmlns:r="http://schemas.openxmlformats.org/officeDocument/2006/relationships" name="财务费用表" sheetId="25" state="visible" r:id="rId25"/>
    <sheet xmlns:r="http://schemas.openxmlformats.org/officeDocument/2006/relationships" name="其他收益表" sheetId="26" state="visible" r:id="rId26"/>
    <sheet xmlns:r="http://schemas.openxmlformats.org/officeDocument/2006/relationships" name="投资收益表" sheetId="27" state="visible" r:id="rId27"/>
    <sheet xmlns:r="http://schemas.openxmlformats.org/officeDocument/2006/relationships" name="汇兑收益表" sheetId="28" state="visible" r:id="rId28"/>
    <sheet xmlns:r="http://schemas.openxmlformats.org/officeDocument/2006/relationships" name="净敞口套期收益表" sheetId="29" state="visible" r:id="rId29"/>
    <sheet xmlns:r="http://schemas.openxmlformats.org/officeDocument/2006/relationships" name="公允价值变动收益表" sheetId="30" state="visible" r:id="rId30"/>
    <sheet xmlns:r="http://schemas.openxmlformats.org/officeDocument/2006/relationships" name="信用减值损失表" sheetId="31" state="visible" r:id="rId31"/>
    <sheet xmlns:r="http://schemas.openxmlformats.org/officeDocument/2006/relationships" name="资产减值损失表" sheetId="32" state="visible" r:id="rId32"/>
    <sheet xmlns:r="http://schemas.openxmlformats.org/officeDocument/2006/relationships" name="资产处置收益表" sheetId="33" state="visible" r:id="rId33"/>
    <sheet xmlns:r="http://schemas.openxmlformats.org/officeDocument/2006/relationships" name="营业外收入表" sheetId="34" state="visible" r:id="rId34"/>
    <sheet xmlns:r="http://schemas.openxmlformats.org/officeDocument/2006/relationships" name="营业外支出表" sheetId="35" state="visible" r:id="rId35"/>
    <sheet xmlns:r="http://schemas.openxmlformats.org/officeDocument/2006/relationships" name="所得税表" sheetId="36" state="visible" r:id="rId36"/>
    <sheet xmlns:r="http://schemas.openxmlformats.org/officeDocument/2006/relationships" name="折旧摊销、资本性支出表" sheetId="37" state="visible" r:id="rId37"/>
    <sheet xmlns:r="http://schemas.openxmlformats.org/officeDocument/2006/relationships" name="折旧摊销附表" sheetId="38" state="visible" r:id="rId38"/>
    <sheet xmlns:r="http://schemas.openxmlformats.org/officeDocument/2006/relationships" name="资本性支出附表" sheetId="39" state="visible" r:id="rId39"/>
    <sheet xmlns:r="http://schemas.openxmlformats.org/officeDocument/2006/relationships" name="营运资金表" sheetId="40" state="visible" r:id="rId40"/>
    <sheet xmlns:r="http://schemas.openxmlformats.org/officeDocument/2006/relationships" name="折现率计算表" sheetId="41" state="visible" r:id="rId41"/>
    <sheet xmlns:r="http://schemas.openxmlformats.org/officeDocument/2006/relationships" name="溢余资产、非经营资产负债表" sheetId="42" state="visible" r:id="rId42"/>
    <sheet xmlns:r="http://schemas.openxmlformats.org/officeDocument/2006/relationships" name="长期股权投资表" sheetId="43" state="visible" r:id="rId43"/>
    <sheet xmlns:r="http://schemas.openxmlformats.org/officeDocument/2006/relationships" name="付息负债明细表" sheetId="44" state="visible" r:id="rId44"/>
  </sheets>
  <definedNames>
    <definedName name="_?">#N/A</definedName>
    <definedName name="______R3_t">#N/A</definedName>
    <definedName name="_￡A￡´1">#N/A</definedName>
    <definedName name="_108_???14">#N/A</definedName>
    <definedName name="_109_???14">#N/A</definedName>
    <definedName name="_110_???14">#N/A</definedName>
    <definedName name="_111_???14">#N/A</definedName>
    <definedName name="_114_???15">#N/A</definedName>
    <definedName name="_115_???15">#N/A</definedName>
    <definedName name="_116_???15">#N/A</definedName>
    <definedName name="_117_???15">#N/A</definedName>
    <definedName name="_120_???16">#N/A</definedName>
    <definedName name="_121_???16">#N/A</definedName>
    <definedName name="_122_???16">#N/A</definedName>
    <definedName name="_123_???16">#N/A</definedName>
    <definedName name="_126_???17">#N/A</definedName>
    <definedName name="_127_???17">#N/A</definedName>
    <definedName name="_128_???17">#N/A</definedName>
    <definedName name="_129_???17">#N/A</definedName>
    <definedName name="_132_???6">#N/A</definedName>
    <definedName name="_133_???6">#N/A</definedName>
    <definedName name="_134_???6">#N/A</definedName>
    <definedName name="_135_???6">#N/A</definedName>
    <definedName name="_138_???7">#N/A</definedName>
    <definedName name="_139_???7">#N/A</definedName>
    <definedName name="_14_???">#N/A</definedName>
    <definedName name="_140_???7">#N/A</definedName>
    <definedName name="_141_???7">#N/A</definedName>
    <definedName name="_164_??1">#N/A</definedName>
    <definedName name="_165_??1">#N/A</definedName>
    <definedName name="_166_??1">#N/A</definedName>
    <definedName name="_167_??1">#N/A</definedName>
    <definedName name="_210_??M">#N/A</definedName>
    <definedName name="_211_??M">#N/A</definedName>
    <definedName name="_212_??M">#N/A</definedName>
    <definedName name="_213_??M">#N/A</definedName>
    <definedName name="_216_??MD?">#N/A</definedName>
    <definedName name="_217_??MD?">#N/A</definedName>
    <definedName name="_218_??MD?">#N/A</definedName>
    <definedName name="_219_??MD?">#N/A</definedName>
    <definedName name="_232_???14">#N/A</definedName>
    <definedName name="_243_???15">#N/A</definedName>
    <definedName name="_254_???16">#N/A</definedName>
    <definedName name="_265_???17">#N/A</definedName>
    <definedName name="_268K1_">#N/A</definedName>
    <definedName name="_27_???">#N/A</definedName>
    <definedName name="_270k113_">{"구분",0,"Auto","Auto","";"발의부서",0,"Auto","Auto",""}</definedName>
    <definedName name="_270k113__1">{"구분",0,"Auto","Auto","";"발의부서",0,"Auto","Auto",""}</definedName>
    <definedName name="_270k113__1_1">{"구분",0,"Auto","Auto","";"발의부서",0,"Auto","Auto",""}</definedName>
    <definedName name="_270k113__2">{"구분",0,"Auto","Auto","";"발의부서",0,"Auto","Auto",""}</definedName>
    <definedName name="_270k113__2_1">{"구분",0,"Auto","Auto","";"발의부서",0,"Auto","Auto",""}</definedName>
    <definedName name="_270k113__3">{"구분",0,"Auto","Auto","";"발의부서",0,"Auto","Auto",""}</definedName>
    <definedName name="_274K150_">{"994시행","SUM(994시행)","YNNNN",FALSE;"9일분기시행","SUM(9일분기시행)","YNNNN",FALSE;"이분기","SUM(이분기)","YNNNN",FALSE}</definedName>
    <definedName name="_274K150__1">{"994시행","SUM(994시행)","YNNNN",FALSE;"9일분기시행","SUM(9일분기시행)","YNNNN",FALSE;"이분기","SUM(이분기)","YNNNN",FALSE}</definedName>
    <definedName name="_274K150__1_1">{"994시행","SUM(994시행)","YNNNN",FALSE;"9일분기시행","SUM(9일분기시행)","YNNNN",FALSE;"이분기","SUM(이분기)","YNNNN",FALSE}</definedName>
    <definedName name="_274K150__2">{"994시행","SUM(994시행)","YNNNN",FALSE;"9일분기시행","SUM(9일분기시행)","YNNNN",FALSE;"이분기","SUM(이분기)","YNNNN",FALSE}</definedName>
    <definedName name="_274K150__2_1">{"994시행","SUM(994시행)","YNNNN",FALSE;"9일분기시행","SUM(9일분기시행)","YNNNN",FALSE;"이분기","SUM(이분기)","YNNNN",FALSE}</definedName>
    <definedName name="_274K150__3">{"994시행","SUM(994시행)","YNNNN",FALSE;"9일분기시행","SUM(9일분기시행)","YNNNN",FALSE;"이분기","SUM(이분기)","YNNNN",FALSE}</definedName>
    <definedName name="_276_???6">#N/A</definedName>
    <definedName name="_28_???">#N/A</definedName>
    <definedName name="_286V200_">#N/A</definedName>
    <definedName name="_287_???7">#N/A</definedName>
    <definedName name="_29_???">#N/A</definedName>
    <definedName name="_30_???">#N/A</definedName>
    <definedName name="_30_???14">#N/A</definedName>
    <definedName name="_31_???14">#N/A</definedName>
    <definedName name="_32_???15">#N/A</definedName>
    <definedName name="_33_???15">#N/A</definedName>
    <definedName name="_34_???16">#N/A</definedName>
    <definedName name="_344_??1">#N/A</definedName>
    <definedName name="_35_???16">#N/A</definedName>
    <definedName name="_36_???17">#N/A</definedName>
    <definedName name="_37_???17">#N/A</definedName>
    <definedName name="_378K1_">#N/A</definedName>
    <definedName name="_379k113_">{"구분",0,"Auto","Auto","";"발의부서",0,"Auto","Auto",""}</definedName>
    <definedName name="_379k113__1">{"구분",0,"Auto","Auto","";"발의부서",0,"Auto","Auto",""}</definedName>
    <definedName name="_379k113__1_1">{"구분",0,"Auto","Auto","";"발의부서",0,"Auto","Auto",""}</definedName>
    <definedName name="_379k113__2">{"구분",0,"Auto","Auto","";"발의부서",0,"Auto","Auto",""}</definedName>
    <definedName name="_379k113__2_1">{"구분",0,"Auto","Auto","";"발의부서",0,"Auto","Auto",""}</definedName>
    <definedName name="_379k113__3">{"구분",0,"Auto","Auto","";"발의부서",0,"Auto","Auto",""}</definedName>
    <definedName name="_38_???6">#N/A</definedName>
    <definedName name="_389V200_">#N/A</definedName>
    <definedName name="_39_???6">#N/A</definedName>
    <definedName name="_40_???7">#N/A</definedName>
    <definedName name="_41_???7">#N/A</definedName>
    <definedName name="_432_??M">#N/A</definedName>
    <definedName name="_443_??MD?">#N/A</definedName>
    <definedName name="_45_???14">#N/A</definedName>
    <definedName name="_46_???15">#N/A</definedName>
    <definedName name="_47_???16">#N/A</definedName>
    <definedName name="_48_???17">#N/A</definedName>
    <definedName name="_50_???6">#N/A</definedName>
    <definedName name="_50_??1">#N/A</definedName>
    <definedName name="_51_???7">#N/A</definedName>
    <definedName name="_51_??1">#N/A</definedName>
    <definedName name="_62_??1">#N/A</definedName>
    <definedName name="_65_???">#N/A</definedName>
    <definedName name="_67_??M">#N/A</definedName>
    <definedName name="_68_??M">#N/A</definedName>
    <definedName name="_69_??MD?">#N/A</definedName>
    <definedName name="_7_???">#N/A</definedName>
    <definedName name="_70_??MD?">#N/A</definedName>
    <definedName name="_77_??M">#N/A</definedName>
    <definedName name="_78_??MD?">#N/A</definedName>
    <definedName name="_8_???">#N/A</definedName>
    <definedName name="_Ａ４1">#N/A</definedName>
    <definedName name="_Ａ４2">#N/A</definedName>
    <definedName name="_KDX3">#N/A</definedName>
    <definedName name="_PD2">#N/A</definedName>
    <definedName name="_Regression_Int">1</definedName>
    <definedName name="_tir1">{"994시행","SUM(994시행)","YNNNN",FALSE;"9일분기시행","SUM(9일분기시행)","YNNNN",FALSE;"이분기","SUM(이분기)","YNNNN",FALSE}</definedName>
    <definedName name="_tir1_1">{"994시행","SUM(994시행)","YNNNN",FALSE;"9일분기시행","SUM(9일분기시행)","YNNNN",FALSE;"이분기","SUM(이분기)","YNNNN",FALSE}</definedName>
    <definedName name="_tir1_1_1">{"994시행","SUM(994시행)","YNNNN",FALSE;"9일분기시행","SUM(9일분기시행)","YNNNN",FALSE;"이분기","SUM(이분기)","YNNNN",FALSE}</definedName>
    <definedName name="_tir1_2">{"994시행","SUM(994시행)","YNNNN",FALSE;"9일분기시행","SUM(9일분기시행)","YNNNN",FALSE;"이분기","SUM(이분기)","YNNNN",FALSE}</definedName>
    <definedName name="_tir1_2_1">{"994시행","SUM(994시행)","YNNNN",FALSE;"9일분기시행","SUM(9일분기시행)","YNNNN",FALSE;"이분기","SUM(이분기)","YNNNN",FALSE}</definedName>
    <definedName name="_tir1_3">{"994시행","SUM(994시행)","YNNNN",FALSE;"9일분기시행","SUM(9일분기시행)","YNNNN",FALSE;"이분기","SUM(이분기)","YNNNN",FALSE}</definedName>
    <definedName name="√">"SQRT"</definedName>
    <definedName name="AAAAAAAAA">#N/A</definedName>
    <definedName name="aaaaaaaaaaaaaaaaaa">#N/A</definedName>
    <definedName name="abc">#N/A</definedName>
    <definedName name="ADFA">#N/A</definedName>
    <definedName name="afdaf">#N/A</definedName>
    <definedName name="BCC">{"994시행","SUM(994시행)","YNNNN",FALSE;"9일분기시행","SUM(9일분기시행)","YNNNN",FALSE;"이분기","SUM(이분기)","YNNNN",FALSE}</definedName>
    <definedName name="BCC_1">{"994시행","SUM(994시행)","YNNNN",FALSE;"9일분기시행","SUM(9일분기시행)","YNNNN",FALSE;"이분기","SUM(이분기)","YNNNN",FALSE}</definedName>
    <definedName name="BCC_1_1">{"994시행","SUM(994시행)","YNNNN",FALSE;"9일분기시행","SUM(9일분기시행)","YNNNN",FALSE;"이분기","SUM(이분기)","YNNNN",FALSE}</definedName>
    <definedName name="BCC_2">{"994시행","SUM(994시행)","YNNNN",FALSE;"9일분기시행","SUM(9일분기시행)","YNNNN",FALSE;"이분기","SUM(이분기)","YNNNN",FALSE}</definedName>
    <definedName name="BCC_2_1">{"994시행","SUM(994시행)","YNNNN",FALSE;"9일분기시행","SUM(9일분기시행)","YNNNN",FALSE;"이분기","SUM(이분기)","YNNNN",FALSE}</definedName>
    <definedName name="BCC_3">{"994시행","SUM(994시행)","YNNNN",FALSE;"9일분기시행","SUM(9일분기시행)","YNNNN",FALSE;"이분기","SUM(이분기)","YNNNN",FALSE}</definedName>
    <definedName name="BIZCASE">#N/A</definedName>
    <definedName name="BMWP">#N/A</definedName>
    <definedName name="call">#N/A</definedName>
    <definedName name="cash">#N/A</definedName>
    <definedName name="Cashflow">#N/A</definedName>
    <definedName name="CC.QQ">#N/A</definedName>
    <definedName name="CCCCP">#N/A</definedName>
    <definedName name="CCCTP">#N/A</definedName>
    <definedName name="CCMCP">#N/A</definedName>
    <definedName name="CCMTP">#N/A</definedName>
    <definedName name="CCUSCP">#N/A</definedName>
    <definedName name="CCUSTP">#N/A</definedName>
    <definedName name="costing">#N/A</definedName>
    <definedName name="CTCCP">#N/A</definedName>
    <definedName name="CTCTP">#N/A</definedName>
    <definedName name="CTEOEP">#N/A</definedName>
    <definedName name="CTMCP">#N/A</definedName>
    <definedName name="CTMTP">#N/A</definedName>
    <definedName name="CTUSCP">#N/A</definedName>
    <definedName name="CTUSTP">#N/A</definedName>
    <definedName name="DATA오류">"Dialog Frame 1"</definedName>
    <definedName name="DCP">#N/A</definedName>
    <definedName name="dld">#N/A</definedName>
    <definedName name="Document_array">{"Book1","公路收费权测算表.xls"}</definedName>
    <definedName name="Document_array_1">{"Book1","公路收费权测算表.xls"}</definedName>
    <definedName name="Document_array_1_1">{"Book1","公路收费权测算表.xls"}</definedName>
    <definedName name="Document_array_2">{"Book1","公路收费权测算表.xls"}</definedName>
    <definedName name="Document_array_2_1">{"Book1","公路收费权测算表.xls"}</definedName>
    <definedName name="Document_array_3">{"Book1","公路收费权测算表.xls"}</definedName>
    <definedName name="DP">#N/A</definedName>
    <definedName name="ERTYUEU">#N/A</definedName>
    <definedName name="EWR">#N/A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C??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C현황">#N/A</definedName>
    <definedName name="FHJFGHJF">#N/A</definedName>
    <definedName name="FMCCP">#N/A</definedName>
    <definedName name="FMCTP">#N/A</definedName>
    <definedName name="FMMCP">#N/A</definedName>
    <definedName name="FMMTP">#N/A</definedName>
    <definedName name="FMP">#N/A</definedName>
    <definedName name="FMUSCP">#N/A</definedName>
    <definedName name="FMUSTP">#N/A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P">#N/A</definedName>
    <definedName name="FSDF">#N/A</definedName>
    <definedName name="FSDFS">#N/A</definedName>
    <definedName name="FSS">#N/A</definedName>
    <definedName name="GetEnv">-360120320</definedName>
    <definedName name="ggg">#N/A</definedName>
    <definedName name="GHJFGJFGJ">#N/A</definedName>
    <definedName name="GMCCP">#N/A</definedName>
    <definedName name="GMCTP">#N/A</definedName>
    <definedName name="GMMCP">#N/A</definedName>
    <definedName name="GMMTP">#N/A</definedName>
    <definedName name="GMP">#N/A</definedName>
    <definedName name="GMPar1">#N/A</definedName>
    <definedName name="GMPar2">#N/A</definedName>
    <definedName name="GMPar3">#N/A</definedName>
    <definedName name="GMPar4">#N/A</definedName>
    <definedName name="GMUSCP">#N/A</definedName>
    <definedName name="GMUSTP">#N/A</definedName>
    <definedName name="green3">"æ"</definedName>
    <definedName name="H">"Text 853"</definedName>
    <definedName name="Height">5</definedName>
    <definedName name="HF1_HARN">#N/A</definedName>
    <definedName name="HJKFGK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Y">1000</definedName>
    <definedName name="IQ_LTM">2000</definedName>
    <definedName name="IQ_MONTH">15000</definedName>
    <definedName name="IQ_NTM">6000</definedName>
    <definedName name="IQ_WEEK">50000</definedName>
    <definedName name="IQ_YTD">3000</definedName>
    <definedName name="JIG">#N/A</definedName>
    <definedName name="JKDCPP">#N/A</definedName>
    <definedName name="JKDWPP">#N/A</definedName>
    <definedName name="JKFGPP">#N/A</definedName>
    <definedName name="JKFPP">#N/A</definedName>
    <definedName name="JKGMPP">#N/A</definedName>
    <definedName name="JKHPP">#N/A</definedName>
    <definedName name="JKHYPP">#N/A</definedName>
    <definedName name="JKRNPP">#N/A</definedName>
    <definedName name="JKSYPP">#N/A</definedName>
    <definedName name="JKSZPP">#N/A</definedName>
    <definedName name="JKTPP">#N/A</definedName>
    <definedName name="jo">#N/A</definedName>
    <definedName name="KFJKFK">#N/A</definedName>
    <definedName name="KFKKKKK">#N/A</definedName>
    <definedName name="KJHK">#N/A</definedName>
    <definedName name="L848_ab">#N/A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3??">#N/A</definedName>
    <definedName name="LC3차서">#N/A</definedName>
    <definedName name="LIU">#N/A</definedName>
    <definedName name="LJLJ">#N/A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1">#N/A</definedName>
    <definedName name="macro111">#N/A</definedName>
    <definedName name="Macro12">#N/A</definedName>
    <definedName name="Macro13">#N/A</definedName>
    <definedName name="Macro14">#N/A</definedName>
    <definedName name="Macro2">#N/A</definedName>
    <definedName name="Macro3">#N/A</definedName>
    <definedName name="Macro5">#N/A</definedName>
    <definedName name="Mill">1000000</definedName>
    <definedName name="MIPX3">#N/A</definedName>
    <definedName name="MMM">#N/A</definedName>
    <definedName name="Module1.Macro1">#N/A</definedName>
    <definedName name="Module1.Macro2">#N/A</definedName>
    <definedName name="Module1.Macro3">#N/A</definedName>
    <definedName name="Module2.Macro5">#N/A</definedName>
    <definedName name="Module4.???10">#N/A</definedName>
    <definedName name="Module4.???11">#N/A</definedName>
    <definedName name="Module4.???12">#N/A</definedName>
    <definedName name="Module4.???13">#N/A</definedName>
    <definedName name="Module4.???14">#N/A</definedName>
    <definedName name="Module4.???15">#N/A</definedName>
    <definedName name="Module4.???16">#N/A</definedName>
    <definedName name="Module4.???17">#N/A</definedName>
    <definedName name="Module4.???6">#N/A</definedName>
    <definedName name="Module4.???8">#N/A</definedName>
    <definedName name="Module4.???9">#N/A</definedName>
    <definedName name="Module4.매크로10">#N/A</definedName>
    <definedName name="Module4.매크로11">#N/A</definedName>
    <definedName name="Module4.매크로12">#N/A</definedName>
    <definedName name="Module4.매크로13">#N/A</definedName>
    <definedName name="Module4.매크로14">#N/A</definedName>
    <definedName name="Module4.매크로15">#N/A</definedName>
    <definedName name="Module4.매크로16">#N/A</definedName>
    <definedName name="Module4.매크로17">#N/A</definedName>
    <definedName name="Module4.매크로6">#N/A</definedName>
    <definedName name="Module4.매크로8">#N/A</definedName>
    <definedName name="Module4.매크로9">#N/A</definedName>
    <definedName name="NAWC">#N/A</definedName>
    <definedName name="Newbook">#N/A</definedName>
    <definedName name="NHFJGFJFHJFGJ">#N/A</definedName>
    <definedName name="NMSNEW">#N/A</definedName>
    <definedName name="NN">#N/A</definedName>
    <definedName name="NNNN">#N/A</definedName>
    <definedName name="OMPar1">#N/A</definedName>
    <definedName name="OMPar2">#N/A</definedName>
    <definedName name="OMPar3">#N/A</definedName>
    <definedName name="OMPar4">#N/A</definedName>
    <definedName name="OMPar5">#N/A</definedName>
    <definedName name="OMPar6">#N/A</definedName>
    <definedName name="OMPar7">#N/A</definedName>
    <definedName name="OMPar8">#N/A</definedName>
    <definedName name="PAD">#N/A</definedName>
    <definedName name="pag.12bis">#N/A</definedName>
    <definedName name="PILLAR">#N/A</definedName>
    <definedName name="pln">#N/A</definedName>
    <definedName name="Print_Other">#N/A</definedName>
    <definedName name="Print_Some">#N/A</definedName>
    <definedName name="PrintTables">#N/A</definedName>
    <definedName name="printTables1">#N/A</definedName>
    <definedName name="Prnt_Clear_All">#N/A</definedName>
    <definedName name="Prnt_Select_All">#N/A</definedName>
    <definedName name="PSAP">#N/A</definedName>
    <definedName name="QQQ">#N/A</definedName>
    <definedName name="QW">#N/A</definedName>
    <definedName name="rate1">8.4</definedName>
    <definedName name="rate2">8.45</definedName>
    <definedName name="red">#N/A</definedName>
    <definedName name="REJ??">#N/A</definedName>
    <definedName name="REJ정리">#N/A</definedName>
    <definedName name="RHD">#N/A</definedName>
    <definedName name="RLA">#N/A</definedName>
    <definedName name="RNP">#N/A</definedName>
    <definedName name="row_def_array">{"구분",0,"Auto","Auto","";"발의부서",0,"Auto","Auto",""}</definedName>
    <definedName name="row_def_array_1">{"구분",0,"Auto","Auto","";"발의부서",0,"Auto","Auto",""}</definedName>
    <definedName name="row_def_array_1_1">{"구분",0,"Auto","Auto","";"발의부서",0,"Auto","Auto",""}</definedName>
    <definedName name="row_def_array_2">{"구분",0,"Auto","Auto","";"발의부서",0,"Auto","Auto",""}</definedName>
    <definedName name="row_def_array_2_1">{"구분",0,"Auto","Auto","";"발의부서",0,"Auto","Auto",""}</definedName>
    <definedName name="row_def_array_3">{"구분",0,"Auto","Auto","";"발의부서",0,"Auto","Auto",""}</definedName>
    <definedName name="Rr">8.28</definedName>
    <definedName name="rrrr">#N/A</definedName>
    <definedName name="RTYURTU">#N/A</definedName>
    <definedName name="S???">#N/A</definedName>
    <definedName name="sa">#N/A</definedName>
    <definedName name="SAD">{"994시행","SUM(994시행)","YNNNN",FALSE;"9일분기시행","SUM(9일분기시행)","YNNNN",FALSE;"이분기","SUM(이분기)","YNNNN",FALSE}</definedName>
    <definedName name="SAD_1">{"994시행","SUM(994시행)","YNNNN",FALSE;"9일분기시행","SUM(9일분기시행)","YNNNN",FALSE;"이분기","SUM(이분기)","YNNNN",FALSE}</definedName>
    <definedName name="SAD_1_1">{"994시행","SUM(994시행)","YNNNN",FALSE;"9일분기시행","SUM(9일분기시행)","YNNNN",FALSE;"이분기","SUM(이분기)","YNNNN",FALSE}</definedName>
    <definedName name="SAD_2">{"994시행","SUM(994시행)","YNNNN",FALSE;"9일분기시행","SUM(9일분기시행)","YNNNN",FALSE;"이분기","SUM(이분기)","YNNNN",FALSE}</definedName>
    <definedName name="SAD_2_1">{"994시행","SUM(994시행)","YNNNN",FALSE;"9일분기시행","SUM(9일분기시행)","YNNNN",FALSE;"이분기","SUM(이분기)","YNNNN",FALSE}</definedName>
    <definedName name="SAD_3">{"994시행","SUM(994시행)","YNNNN",FALSE;"9일분기시행","SUM(9일분기시행)","YNNNN",FALSE;"이분기","SUM(이분기)","YNNNN",FALSE}</definedName>
    <definedName name="same">#N/A</definedName>
    <definedName name="same2">"æ"</definedName>
    <definedName name="SCHEDULE">#N/A</definedName>
    <definedName name="ScheduleAdd">"R5C1:R15C2"</definedName>
    <definedName name="ScheduleDel">"R45C1:R55C2"</definedName>
    <definedName name="sdf">{"구분",0,"Auto","Auto","";"발의부서",0,"Auto","Auto",""}</definedName>
    <definedName name="sdf_1">{"구분",0,"Auto","Auto","";"발의부서",0,"Auto","Auto",""}</definedName>
    <definedName name="sdf_1_1">{"구분",0,"Auto","Auto","";"발의부서",0,"Auto","Auto",""}</definedName>
    <definedName name="sdf_2">{"구분",0,"Auto","Auto","";"발의부서",0,"Auto","Auto",""}</definedName>
    <definedName name="sdf_2_1">{"구분",0,"Auto","Auto","";"발의부서",0,"Auto","Auto",""}</definedName>
    <definedName name="sdf_3">{"구분",0,"Auto","Auto","";"발의부서",0,"Auto","Auto",""}</definedName>
    <definedName name="SFF">#N/A</definedName>
    <definedName name="SHOP2">#N/A</definedName>
    <definedName name="sigma">8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ome_Print">#N/A</definedName>
    <definedName name="SortRange">"R5C1:R1C25"</definedName>
    <definedName name="SOW">#N/A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SS">#N/A</definedName>
    <definedName name="StartValue">42.5392330383481</definedName>
    <definedName name="StepValue">0.453097345132744</definedName>
    <definedName name="Submita">#N/A</definedName>
    <definedName name="SubmitAA1">#N/A</definedName>
    <definedName name="SubmitAA2A">#N/A</definedName>
    <definedName name="SubmitAA2B">#N/A</definedName>
    <definedName name="SubmitAA2C">#N/A</definedName>
    <definedName name="Submitb">#N/A</definedName>
    <definedName name="SubmitBB">#N/A</definedName>
    <definedName name="Submitc">#N/A</definedName>
    <definedName name="SubmitCC">#N/A</definedName>
    <definedName name="SubmitD">#N/A</definedName>
    <definedName name="SubmitDD">#N/A</definedName>
    <definedName name="SubmitE">#N/A</definedName>
    <definedName name="SubmitEE">#N/A</definedName>
    <definedName name="SubmitF">#N/A</definedName>
    <definedName name="SubmitFF">#N/A</definedName>
    <definedName name="SubmitGG">#N/A</definedName>
    <definedName name="SubmitH1">#N/A</definedName>
    <definedName name="SubmitH2">#N/A</definedName>
    <definedName name="SubmitHH">#N/A</definedName>
    <definedName name="SubmitI1">#N/A</definedName>
    <definedName name="SubmitI2">#N/A</definedName>
    <definedName name="SubmitII">#N/A</definedName>
    <definedName name="SubmitJ">#N/A</definedName>
    <definedName name="SubmitJJ">#N/A</definedName>
    <definedName name="SubmitK">#N/A</definedName>
    <definedName name="SubmitKK">#N/A</definedName>
    <definedName name="SubmitL">#N/A</definedName>
    <definedName name="SubmitLL">#N/A</definedName>
    <definedName name="SubmitM">#N/A</definedName>
    <definedName name="SubmitN">#N/A</definedName>
    <definedName name="SubmitO1">#N/A</definedName>
    <definedName name="SubmitO2">#N/A</definedName>
    <definedName name="SubmitP">#N/A</definedName>
    <definedName name="SubmitQ">#N/A</definedName>
    <definedName name="SubmitR">#N/A</definedName>
    <definedName name="SubmitS">#N/A</definedName>
    <definedName name="SubmitT">#N/A</definedName>
    <definedName name="SubmitU">#N/A</definedName>
    <definedName name="SubmitV">#N/A</definedName>
    <definedName name="SubmitW">#N/A</definedName>
    <definedName name="SubmitX">#N/A</definedName>
    <definedName name="SubmitY">#N/A</definedName>
    <definedName name="SubmitZ">#N/A</definedName>
    <definedName name="summary1">#N/A</definedName>
    <definedName name="S분리형">#N/A</definedName>
    <definedName name="TableName">"Dummy"</definedName>
    <definedName name="TCACP">#N/A</definedName>
    <definedName name="TCAP">#N/A</definedName>
    <definedName name="TCATP">#N/A</definedName>
    <definedName name="TEBMWP">#N/A</definedName>
    <definedName name="TEDCP">#N/A</definedName>
    <definedName name="TEFMP">#N/A</definedName>
    <definedName name="TEFP">#N/A</definedName>
    <definedName name="TEGMP">#N/A</definedName>
    <definedName name="TEOEP">#N/A</definedName>
    <definedName name="TEP">#N/A</definedName>
    <definedName name="TEPSAP">#N/A</definedName>
    <definedName name="TERNP">#N/A</definedName>
    <definedName name="test3">"ë"</definedName>
    <definedName name="TETYP">#N/A</definedName>
    <definedName name="TEVWP">#N/A</definedName>
    <definedName name="TJKDCPP">#N/A</definedName>
    <definedName name="TJKDWPP">#N/A</definedName>
    <definedName name="TJKFGPP">#N/A</definedName>
    <definedName name="TJKFPP">#N/A</definedName>
    <definedName name="TJKGMPP">#N/A</definedName>
    <definedName name="TJKHPP">#N/A</definedName>
    <definedName name="TJKHYPP">#N/A</definedName>
    <definedName name="TJKPP">#N/A</definedName>
    <definedName name="TJKRNPP">#N/A</definedName>
    <definedName name="TJKSZPP">#N/A</definedName>
    <definedName name="TJKTPP">#N/A</definedName>
    <definedName name="TMPar1">#N/A</definedName>
    <definedName name="TMPar2">#N/A</definedName>
    <definedName name="TMXCP">#N/A</definedName>
    <definedName name="TMXP">#N/A</definedName>
    <definedName name="TMXTP">#N/A</definedName>
    <definedName name="TTEP">#N/A</definedName>
    <definedName name="ttt">#N/A</definedName>
    <definedName name="TUSCP">#N/A</definedName>
    <definedName name="TUSP">#N/A</definedName>
    <definedName name="TUSTP">#N/A</definedName>
    <definedName name="TYP">#N/A</definedName>
    <definedName name="VA">6000/14000</definedName>
    <definedName name="value_def_array">{"994시행","SUM(994시행)","YNNNN",FALSE;"9일분기시행","SUM(9일분기시행)","YNNNN",FALSE;"이분기","SUM(이분기)","YNNNN",FALSE}</definedName>
    <definedName name="value_def_array_1">{"994시행","SUM(994시행)","YNNNN",FALSE;"9일분기시행","SUM(9일분기시행)","YNNNN",FALSE;"이분기","SUM(이분기)","YNNNN",FALSE}</definedName>
    <definedName name="value_def_array_1_1">{"994시행","SUM(994시행)","YNNNN",FALSE;"9일분기시행","SUM(9일분기시행)","YNNNN",FALSE;"이분기","SUM(이분기)","YNNNN",FALSE}</definedName>
    <definedName name="value_def_array_2">{"994시행","SUM(994시행)","YNNNN",FALSE;"9일분기시행","SUM(9일분기시행)","YNNNN",FALSE;"이분기","SUM(이분기)","YNNNN",FALSE}</definedName>
    <definedName name="value_def_array_2_1">{"994시행","SUM(994시행)","YNNNN",FALSE;"9일분기시행","SUM(9일분기시행)","YNNNN",FALSE;"이분기","SUM(이분기)","YNNNN",FALSE}</definedName>
    <definedName name="value_def_array_3">{"994시행","SUM(994시행)","YNNNN",FALSE;"9일분기시행","SUM(9일분기시행)","YNNNN",FALSE;"이분기","SUM(이분기)","YNNNN",FALSE}</definedName>
    <definedName name="VB">16000/14000</definedName>
    <definedName name="VC">8000/21600</definedName>
    <definedName name="VD">25000/21600</definedName>
    <definedName name="volumer">16000/14000</definedName>
    <definedName name="VWP">#N/A</definedName>
    <definedName name="W.SHOP">#N/A</definedName>
    <definedName name="WEIGHT">{"구분",0,"Auto","Auto","";"발의부서",0,"Auto","Auto",""}</definedName>
    <definedName name="WEIGHT_1">{"구분",0,"Auto","Auto","";"발의부서",0,"Auto","Auto",""}</definedName>
    <definedName name="WEIGHT_1_1">{"구분",0,"Auto","Auto","";"발의부서",0,"Auto","Auto",""}</definedName>
    <definedName name="WEIGHT_2">{"구분",0,"Auto","Auto","";"발의부서",0,"Auto","Auto",""}</definedName>
    <definedName name="WEIGHT_2_1">{"구분",0,"Auto","Auto","";"발의부서",0,"Auto","Auto",""}</definedName>
    <definedName name="WEIGHT_3">{"구분",0,"Auto","Auto","";"발의부서",0,"Auto","Auto",""}</definedName>
    <definedName name="Width">2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YU">#N/A</definedName>
    <definedName name="YUY">#N/A</definedName>
    <definedName name="π">PI()</definedName>
    <definedName name="ㄱㄷㄱ">#N/A</definedName>
    <definedName name="ㄱㅈ">#N/A</definedName>
    <definedName name="가나">#N/A</definedName>
    <definedName name="개발방향2">{"994시행","SUM(994시행)","YNNNN",FALSE;"9일분기시행","SUM(9일분기시행)","YNNNN",FALSE;"이분기","SUM(이분기)","YNNNN",FALSE}</definedName>
    <definedName name="개발방향2_1">{"994시행","SUM(994시행)","YNNNN",FALSE;"9일분기시행","SUM(9일분기시행)","YNNNN",FALSE;"이분기","SUM(이분기)","YNNNN",FALSE}</definedName>
    <definedName name="개발방향2_1_1">{"994시행","SUM(994시행)","YNNNN",FALSE;"9일분기시행","SUM(9일분기시행)","YNNNN",FALSE;"이분기","SUM(이분기)","YNNNN",FALSE}</definedName>
    <definedName name="개발방향2_2">{"994시행","SUM(994시행)","YNNNN",FALSE;"9일분기시행","SUM(9일분기시행)","YNNNN",FALSE;"이분기","SUM(이분기)","YNNNN",FALSE}</definedName>
    <definedName name="개발방향2_2_1">{"994시행","SUM(994시행)","YNNNN",FALSE;"9일분기시행","SUM(9일분기시행)","YNNNN",FALSE;"이분기","SUM(이분기)","YNNNN",FALSE}</definedName>
    <definedName name="개발방향2_3">{"994시행","SUM(994시행)","YNNNN",FALSE;"9일분기시행","SUM(9일분기시행)","YNNNN",FALSE;"이분기","SUM(이분기)","YNNNN",FALSE}</definedName>
    <definedName name="개발차종">#N/A</definedName>
    <definedName name="고">{"994시행","SUM(994시행)","YNNNN",FALSE;"9일분기시행","SUM(9일분기시행)","YNNNN",FALSE;"이분기","SUM(이분기)","YNNNN",FALSE}</definedName>
    <definedName name="고_1">{"994시행","SUM(994시행)","YNNNN",FALSE;"9일분기시행","SUM(9일분기시행)","YNNNN",FALSE;"이분기","SUM(이분기)","YNNNN",FALSE}</definedName>
    <definedName name="고_1_1">{"994시행","SUM(994시행)","YNNNN",FALSE;"9일분기시행","SUM(9일분기시행)","YNNNN",FALSE;"이분기","SUM(이분기)","YNNNN",FALSE}</definedName>
    <definedName name="고_2">{"994시행","SUM(994시행)","YNNNN",FALSE;"9일분기시행","SUM(9일분기시행)","YNNNN",FALSE;"이분기","SUM(이분기)","YNNNN",FALSE}</definedName>
    <definedName name="고_2_1">{"994시행","SUM(994시행)","YNNNN",FALSE;"9일분기시행","SUM(9일분기시행)","YNNNN",FALSE;"이분기","SUM(이분기)","YNNNN",FALSE}</definedName>
    <definedName name="고_3">{"994시행","SUM(994시행)","YNNNN",FALSE;"9일분기시행","SUM(9일분기시행)","YNNNN",FALSE;"이분기","SUM(이분기)","YNNNN",FALSE}</definedName>
    <definedName name="권">#N/A</definedName>
    <definedName name="권종원">#N/A</definedName>
    <definedName name="금형단가">89064</definedName>
    <definedName name="기아단가">89064</definedName>
    <definedName name="기타1">#N/A</definedName>
    <definedName name="김삿갓">#N/A</definedName>
    <definedName name="김세일">#N/A</definedName>
    <definedName name="김영호">#N/A</definedName>
    <definedName name="김우상">#N/A</definedName>
    <definedName name="김일">#N/A</definedName>
    <definedName name="김호진">#N/A</definedName>
    <definedName name="김효진">#N/A</definedName>
    <definedName name="ㄴㄴㄴ">{"구분",0,"Auto","Auto","";"발의부서",0,"Auto","Auto",""}</definedName>
    <definedName name="ㄴㄴㄴ_1">{"구분",0,"Auto","Auto","";"발의부서",0,"Auto","Auto",""}</definedName>
    <definedName name="ㄴㄴㄴ_1_1">{"구분",0,"Auto","Auto","";"발의부서",0,"Auto","Auto",""}</definedName>
    <definedName name="ㄴㄴㄴ_2">{"구분",0,"Auto","Auto","";"발의부서",0,"Auto","Auto",""}</definedName>
    <definedName name="ㄴㄴㄴ_2_1">{"구분",0,"Auto","Auto","";"발의부서",0,"Auto","Auto",""}</definedName>
    <definedName name="ㄴㄴㄴ_3">{"구분",0,"Auto","Auto","";"발의부서",0,"Auto","Auto",""}</definedName>
    <definedName name="ㄴㅁㄴ">{"구분",0,"Auto","Auto","";"발의부서",0,"Auto","Auto",""}</definedName>
    <definedName name="ㄴㅁㄴ_1">{"구분",0,"Auto","Auto","";"발의부서",0,"Auto","Auto",""}</definedName>
    <definedName name="ㄴㅁㄴ_1_1">{"구분",0,"Auto","Auto","";"발의부서",0,"Auto","Auto",""}</definedName>
    <definedName name="ㄴㅁㄴ_2">{"구분",0,"Auto","Auto","";"발의부서",0,"Auto","Auto",""}</definedName>
    <definedName name="ㄴㅁㄴ_2_1">{"구분",0,"Auto","Auto","";"발의부서",0,"Auto","Auto",""}</definedName>
    <definedName name="ㄴㅁㄴ_3">{"구분",0,"Auto","Auto","";"발의부서",0,"Auto","Auto",""}</definedName>
    <definedName name="나ㅣ나ㅣㄴ">#N/A</definedName>
    <definedName name="后排">#N/A</definedName>
    <definedName name="ㄷㄷㄷ">#N/A</definedName>
    <definedName name="단위">1000</definedName>
    <definedName name="ㄹ">#N/A</definedName>
    <definedName name="ㅁ">#N/A</definedName>
    <definedName name="ㅁㄴㅁㄴ">{"994시행","SUM(994시행)","YNNNN",FALSE;"9일분기시행","SUM(9일분기시행)","YNNNN",FALSE;"이분기","SUM(이분기)","YNNNN",FALSE}</definedName>
    <definedName name="ㅁㄴㅁㄴ_1">{"994시행","SUM(994시행)","YNNNN",FALSE;"9일분기시행","SUM(9일분기시행)","YNNNN",FALSE;"이분기","SUM(이분기)","YNNNN",FALSE}</definedName>
    <definedName name="ㅁㄴㅁㄴ_1_1">{"994시행","SUM(994시행)","YNNNN",FALSE;"9일분기시행","SUM(9일분기시행)","YNNNN",FALSE;"이분기","SUM(이분기)","YNNNN",FALSE}</definedName>
    <definedName name="ㅁㄴㅁㄴ_2">{"994시행","SUM(994시행)","YNNNN",FALSE;"9일분기시행","SUM(9일분기시행)","YNNNN",FALSE;"이분기","SUM(이분기)","YNNNN",FALSE}</definedName>
    <definedName name="ㅁㄴㅁㄴ_2_1">{"994시행","SUM(994시행)","YNNNN",FALSE;"9일분기시행","SUM(9일분기시행)","YNNNN",FALSE;"이분기","SUM(이분기)","YNNNN",FALSE}</definedName>
    <definedName name="ㅁㄴㅁㄴ_3">{"994시행","SUM(994시행)","YNNNN",FALSE;"9일분기시행","SUM(9일분기시행)","YNNNN",FALSE;"이분기","SUM(이분기)","YNNNN",FALSE}</definedName>
    <definedName name="ㅁㄴㅇ">#N/A</definedName>
    <definedName name="ㅁㅇ">#N/A</definedName>
    <definedName name="土地18">{"Book1","公路收费权测算表.xls"}</definedName>
    <definedName name="土地18_1">{"Book1","公路收费权测算表.xls"}</definedName>
    <definedName name="土地18_1_1">{"Book1","公路收费权测算表.xls"}</definedName>
    <definedName name="土地18_2">{"Book1","公路收费权测算表.xls"}</definedName>
    <definedName name="土地18_2_1">{"Book1","公路收费权测算表.xls"}</definedName>
    <definedName name="土地18_3">{"Book1","公路收费权测算表.xls"}</definedName>
    <definedName name="매크로14">#N/A</definedName>
    <definedName name="매크로15">#N/A</definedName>
    <definedName name="매크로16">#N/A</definedName>
    <definedName name="매크로17">#N/A</definedName>
    <definedName name="매크로6">#N/A</definedName>
    <definedName name="매크로7">#N/A</definedName>
    <definedName name="멍멍">#N/A</definedName>
    <definedName name="목차2">#N/A</definedName>
    <definedName name="무식">#N/A</definedName>
    <definedName name="믹믹">#N/A</definedName>
    <definedName name="ㅂㅂㅂ">#N/A</definedName>
    <definedName name="박">#N/A</definedName>
    <definedName name="백만">1000000</definedName>
    <definedName name="张">#N/A</definedName>
    <definedName name="별도">#N/A</definedName>
    <definedName name="보고계획">#N/A</definedName>
    <definedName name="복사">#N/A</definedName>
    <definedName name="분석">#N/A</definedName>
    <definedName name="분야별3">{"994시행","SUM(994시행)","YNNNN",FALSE;"9일분기시행","SUM(9일분기시행)","YNNNN",FALSE;"이분기","SUM(이분기)","YNNNN",FALSE}</definedName>
    <definedName name="분야별3_1">{"994시행","SUM(994시행)","YNNNN",FALSE;"9일분기시행","SUM(9일분기시행)","YNNNN",FALSE;"이분기","SUM(이분기)","YNNNN",FALSE}</definedName>
    <definedName name="분야별3_1_1">{"994시행","SUM(994시행)","YNNNN",FALSE;"9일분기시행","SUM(9일분기시행)","YNNNN",FALSE;"이분기","SUM(이분기)","YNNNN",FALSE}</definedName>
    <definedName name="분야별3_2">{"994시행","SUM(994시행)","YNNNN",FALSE;"9일분기시행","SUM(9일분기시행)","YNNNN",FALSE;"이분기","SUM(이분기)","YNNNN",FALSE}</definedName>
    <definedName name="분야별3_2_1">{"994시행","SUM(994시행)","YNNNN",FALSE;"9일분기시행","SUM(9일분기시행)","YNNNN",FALSE;"이분기","SUM(이분기)","YNNNN",FALSE}</definedName>
    <definedName name="분야별3_3">{"994시행","SUM(994시행)","YNNNN",FALSE;"9일분기시행","SUM(9일분기시행)","YNNNN",FALSE;"이분기","SUM(이분기)","YNNNN",FALSE}</definedName>
    <definedName name="삼식이">#N/A</definedName>
    <definedName name="새시">#N/A</definedName>
    <definedName name="생산설비">{"구분",0,"Auto","Auto","";"발의부서",0,"Auto","Auto",""}</definedName>
    <definedName name="생산설비_1">{"구분",0,"Auto","Auto","";"발의부서",0,"Auto","Auto",""}</definedName>
    <definedName name="생산설비_1_1">{"구분",0,"Auto","Auto","";"발의부서",0,"Auto","Auto",""}</definedName>
    <definedName name="생산설비_2">{"구분",0,"Auto","Auto","";"발의부서",0,"Auto","Auto",""}</definedName>
    <definedName name="생산설비_2_1">{"구분",0,"Auto","Auto","";"발의부서",0,"Auto","Auto",""}</definedName>
    <definedName name="생산설비_3">{"구분",0,"Auto","Auto","";"발의부서",0,"Auto","Auto",""}</definedName>
    <definedName name="샤시M">#N/A</definedName>
    <definedName name="샤시MD일">#N/A</definedName>
    <definedName name="선항영">#N/A</definedName>
    <definedName name="세일">#N/A</definedName>
    <definedName name="소하단가">89064</definedName>
    <definedName name="수입부품">#N/A</definedName>
    <definedName name="수입품">#N/A</definedName>
    <definedName name="수정">#N/A</definedName>
    <definedName name="수지개발">#N/A</definedName>
    <definedName name="수지개발1">#N/A</definedName>
    <definedName name="ㅇㄹㅇㄹㅇㄹ">#N/A</definedName>
    <definedName name="ㅇㅀ">{"994시행","SUM(994시행)","YNNNN",FALSE;"9일분기시행","SUM(9일분기시행)","YNNNN",FALSE;"이분기","SUM(이분기)","YNNNN",FALSE}</definedName>
    <definedName name="ㅇㅀ_1">{"994시행","SUM(994시행)","YNNNN",FALSE;"9일분기시행","SUM(9일분기시행)","YNNNN",FALSE;"이분기","SUM(이분기)","YNNNN",FALSE}</definedName>
    <definedName name="ㅇㅀ_1_1">{"994시행","SUM(994시행)","YNNNN",FALSE;"9일분기시행","SUM(9일분기시행)","YNNNN",FALSE;"이분기","SUM(이분기)","YNNNN",FALSE}</definedName>
    <definedName name="ㅇㅀ_2">{"994시행","SUM(994시행)","YNNNN",FALSE;"9일분기시행","SUM(9일분기시행)","YNNNN",FALSE;"이분기","SUM(이분기)","YNNNN",FALSE}</definedName>
    <definedName name="ㅇㅀ_2_1">{"994시행","SUM(994시행)","YNNNN",FALSE;"9일분기시행","SUM(9일분기시행)","YNNNN",FALSE;"이분기","SUM(이분기)","YNNNN",FALSE}</definedName>
    <definedName name="ㅇㅀ_3">{"994시행","SUM(994시행)","YNNNN",FALSE;"9일분기시행","SUM(9일분기시행)","YNNNN",FALSE;"이분기","SUM(이분기)","YNNNN",FALSE}</definedName>
    <definedName name="원">1</definedName>
    <definedName name="의장현황">#N/A</definedName>
    <definedName name="일">#N/A</definedName>
    <definedName name="ㅈㅂㄷㅈㅂ">{"994시행","SUM(994시행)","YNNNN",FALSE;"9일분기시행","SUM(9일분기시행)","YNNNN",FALSE;"이분기","SUM(이분기)","YNNNN",FALSE}</definedName>
    <definedName name="ㅈㅂㄷㅈㅂ_1">{"994시행","SUM(994시행)","YNNNN",FALSE;"9일분기시행","SUM(9일분기시행)","YNNNN",FALSE;"이분기","SUM(이분기)","YNNNN",FALSE}</definedName>
    <definedName name="ㅈㅂㄷㅈㅂ_1_1">{"994시행","SUM(994시행)","YNNNN",FALSE;"9일분기시행","SUM(9일분기시행)","YNNNN",FALSE;"이분기","SUM(이분기)","YNNNN",FALSE}</definedName>
    <definedName name="ㅈㅂㄷㅈㅂ_2">{"994시행","SUM(994시행)","YNNNN",FALSE;"9일분기시행","SUM(9일분기시행)","YNNNN",FALSE;"이분기","SUM(이분기)","YNNNN",FALSE}</definedName>
    <definedName name="ㅈㅂㄷㅈㅂ_2_1">{"994시행","SUM(994시행)","YNNNN",FALSE;"9일분기시행","SUM(9일분기시행)","YNNNN",FALSE;"이분기","SUM(이분기)","YNNNN",FALSE}</definedName>
    <definedName name="ㅈㅂㄷㅈㅂ_3">{"994시행","SUM(994시행)","YNNNN",FALSE;"9일분기시행","SUM(9일분기시행)","YNNNN",FALSE;"이분기","SUM(이분기)","YNNNN",FALSE}</definedName>
    <definedName name="ㅈㅈ">#N/A</definedName>
    <definedName name="재털이">#N/A</definedName>
    <definedName name="전체현황1">#N/A</definedName>
    <definedName name="절감">#N/A</definedName>
    <definedName name="절감아이디어">#N/A</definedName>
    <definedName name="정종구">#N/A</definedName>
    <definedName name="조립라인">"Chart 6"</definedName>
    <definedName name="종원">#N/A</definedName>
    <definedName name="중량">{"994시행","SUM(994시행)","YNNNN",FALSE;"9일분기시행","SUM(9일분기시행)","YNNNN",FALSE;"이분기","SUM(이분기)","YNNNN",FALSE}</definedName>
    <definedName name="중량_1">{"994시행","SUM(994시행)","YNNNN",FALSE;"9일분기시행","SUM(9일분기시행)","YNNNN",FALSE;"이분기","SUM(이분기)","YNNNN",FALSE}</definedName>
    <definedName name="중량_1_1">{"994시행","SUM(994시행)","YNNNN",FALSE;"9일분기시행","SUM(9일분기시행)","YNNNN",FALSE;"이분기","SUM(이분기)","YNNNN",FALSE}</definedName>
    <definedName name="중량_2">{"994시행","SUM(994시행)","YNNNN",FALSE;"9일분기시행","SUM(9일분기시행)","YNNNN",FALSE;"이분기","SUM(이분기)","YNNNN",FALSE}</definedName>
    <definedName name="중량_2_1">{"994시행","SUM(994시행)","YNNNN",FALSE;"9일분기시행","SUM(9일분기시행)","YNNNN",FALSE;"이분기","SUM(이분기)","YNNNN",FALSE}</definedName>
    <definedName name="중량_3">{"994시행","SUM(994시행)","YNNNN",FALSE;"9일분기시행","SUM(9일분기시행)","YNNNN",FALSE;"이분기","SUM(이분기)","YNNNN",FALSE}</definedName>
    <definedName name="차차">#N/A</definedName>
    <definedName name="쵸쵸">#N/A</definedName>
    <definedName name="추추">#N/A</definedName>
    <definedName name="츄츄">#N/A</definedName>
    <definedName name="츠츠">#N/A</definedName>
    <definedName name="쿠쿠">#N/A</definedName>
    <definedName name="투자현황">#N/A</definedName>
    <definedName name="ㅍㄹㄴㅇㄹ">#N/A</definedName>
    <definedName name="펴펴">#N/A</definedName>
    <definedName name="포포">#N/A</definedName>
    <definedName name="표표">#N/A</definedName>
    <definedName name="푸푸">#N/A</definedName>
    <definedName name="퓨퓨">#N/A</definedName>
    <definedName name="ㅎㅇㅁ">{"994시행","SUM(994시행)","YNNNN",FALSE;"9일분기시행","SUM(9일분기시행)","YNNNN",FALSE;"이분기","SUM(이분기)","YNNNN",FALSE}</definedName>
    <definedName name="ㅎㅇㅁ_1">{"994시행","SUM(994시행)","YNNNN",FALSE;"9일분기시행","SUM(9일분기시행)","YNNNN",FALSE;"이분기","SUM(이분기)","YNNNN",FALSE}</definedName>
    <definedName name="ㅎㅇㅁ_1_1">{"994시행","SUM(994시행)","YNNNN",FALSE;"9일분기시행","SUM(9일분기시행)","YNNNN",FALSE;"이분기","SUM(이분기)","YNNNN",FALSE}</definedName>
    <definedName name="ㅎㅇㅁ_2">{"994시행","SUM(994시행)","YNNNN",FALSE;"9일분기시행","SUM(9일분기시행)","YNNNN",FALSE;"이분기","SUM(이분기)","YNNNN",FALSE}</definedName>
    <definedName name="ㅎㅇㅁ_2_1">{"994시행","SUM(994시행)","YNNNN",FALSE;"9일분기시행","SUM(9일분기시행)","YNNNN",FALSE;"이분기","SUM(이분기)","YNNNN",FALSE}</definedName>
    <definedName name="ㅎㅇㅁ_3">{"994시행","SUM(994시행)","YNNNN",FALSE;"9일분기시행","SUM(9일분기시행)","YNNNN",FALSE;"이분기","SUM(이분기)","YNNNN",FALSE}</definedName>
    <definedName name="하하">#N/A</definedName>
    <definedName name="혀혀">#N/A</definedName>
    <definedName name="현대단가">107630</definedName>
    <definedName name="현현">#N/A</definedName>
    <definedName name="현황">#N/A</definedName>
    <definedName name="혈혈">#N/A</definedName>
    <definedName name="혐혐">#N/A</definedName>
    <definedName name="형">#N/A</definedName>
    <definedName name="후후">#N/A</definedName>
    <definedName name="히히">#N/A</definedName>
    <definedName name="ㅏㅏㅏㅏㅏ">#N/A</definedName>
    <definedName name="ㅏㅓㅛㅓ">#N/A</definedName>
    <definedName name="ㅗㅅ">#N/A</definedName>
    <definedName name="ㅗㅗㅗㅗㅗㅗㅗ">#N/A</definedName>
    <definedName name="ㅡㅇ">#N/A</definedName>
    <definedName name="ㅡㅗ">#N/A</definedName>
    <definedName name="产品_其他业务" localSheetId="12">主要产品及服务!$B$9:$G$12</definedName>
    <definedName name="产品_主营业务" localSheetId="12">主要产品及服务!$B$5:$G$8</definedName>
    <definedName name="pid1_2_热处理" localSheetId="13" hidden="1">营业收入表!$A$7</definedName>
    <definedName name="pid1_3_其他" localSheetId="13" hidden="1">营业收入表!$A$8</definedName>
    <definedName name="pid2_5_其他" localSheetId="13" hidden="1">营业收入表!$A$13</definedName>
    <definedName name="营业收入表_其他业务" localSheetId="13">营业收入表!$A$13:$M$15</definedName>
    <definedName name="营业收入表_主营业务" localSheetId="13">营业收入表!$A$7:$M$10</definedName>
    <definedName name="pid3_2_热处理_数量单价式" localSheetId="14" hidden="1">营业收入附表!$A$7</definedName>
    <definedName name="pid3_3_其他_数量单价式" localSheetId="14" hidden="1">营业收入附表!$A$10</definedName>
    <definedName name="pid4_5_其他_数量单价式" localSheetId="14" hidden="1">营业收入附表!$A$17</definedName>
    <definedName name="营业收入附表_其他业务" localSheetId="14">营业收入附表!$A$17:$M$21</definedName>
    <definedName name="营业收入附表_主营业务" localSheetId="14">营业收入附表!$A$7:$M$14</definedName>
    <definedName name="pid1_2_热处理" localSheetId="15" hidden="1">营业成本表!$A$7</definedName>
    <definedName name="pid1_3_其他" localSheetId="15" hidden="1">营业成本表!$A$8</definedName>
    <definedName name="pid2_5_其他" localSheetId="15" hidden="1">营业成本表!$A$13</definedName>
    <definedName name="营业成本表_其他业务" localSheetId="15">营业成本表!$A$13:$M$15</definedName>
    <definedName name="营业成本表_主营业务" localSheetId="15">营业成本表!$A$7:$M$10</definedName>
    <definedName name="pid5_2_热处理_料工费式" localSheetId="16" hidden="1">营业成本附表!$A$7</definedName>
    <definedName name="pid5_3_其他_数量单价式" localSheetId="16" hidden="1">营业成本附表!$A$18</definedName>
    <definedName name="pid6_5_其他_数量单价式" localSheetId="16" hidden="1">营业成本附表!$A$25</definedName>
    <definedName name="营业成本附表_其他业务" localSheetId="16">营业成本附表!$A$25:$M$29</definedName>
    <definedName name="营业成本附表_主营业务" localSheetId="16">营业成本附表!$A$7:$M$22</definedName>
    <definedName name="所得税_补亏后应纳税所得额" localSheetId="35">所得税表!$E$47</definedName>
    <definedName name="所得税_调整后利润总额" localSheetId="35">所得税表!$G$40:$M$40</definedName>
    <definedName name="所得税_应纳税所得额" localSheetId="35">所得税表!$G$41:$M$41</definedName>
    <definedName name="a" localSheetId="36">#N/A</definedName>
    <definedName name="b" localSheetId="36">#N/A</definedName>
    <definedName name="CCCAR" localSheetId="36">#N/A</definedName>
    <definedName name="CCTRK" localSheetId="36">#N/A</definedName>
    <definedName name="CFCAR" localSheetId="36">#N/A</definedName>
    <definedName name="CFTRK" localSheetId="36">#N/A</definedName>
    <definedName name="CGCAR" localSheetId="36">#N/A</definedName>
    <definedName name="CGTRK" localSheetId="36">#N/A</definedName>
    <definedName name="CTRCAR" localSheetId="36">#N/A</definedName>
    <definedName name="CTRTRK" localSheetId="36">#N/A</definedName>
    <definedName name="N" localSheetId="36">"?N*"</definedName>
    <definedName name="TCRP" localSheetId="36">#N/A</definedName>
    <definedName name="TFMP" localSheetId="36">#N/A</definedName>
    <definedName name="TGMP" localSheetId="36">#N/A</definedName>
    <definedName name="TNACP" localSheetId="36">#N/A</definedName>
    <definedName name="TNAP" localSheetId="36">#N/A</definedName>
    <definedName name="TNATP" localSheetId="36">#N/A</definedName>
    <definedName name="TTPP" localSheetId="36">#N/A</definedName>
    <definedName name="a" localSheetId="39">#N/A</definedName>
    <definedName name="b" localSheetId="39">#N/A</definedName>
    <definedName name="CCCAR" localSheetId="39">#N/A</definedName>
    <definedName name="CCTRK" localSheetId="39">#N/A</definedName>
    <definedName name="CFCAR" localSheetId="39">#N/A</definedName>
    <definedName name="CFTRK" localSheetId="39">#N/A</definedName>
    <definedName name="CGCAR" localSheetId="39">#N/A</definedName>
    <definedName name="CGTRK" localSheetId="39">#N/A</definedName>
    <definedName name="CTRCAR" localSheetId="39">#N/A</definedName>
    <definedName name="CTRTRK" localSheetId="39">#N/A</definedName>
    <definedName name="N" localSheetId="39">"?N*"</definedName>
    <definedName name="TCRP" localSheetId="39">#N/A</definedName>
    <definedName name="TFMP" localSheetId="39">#N/A</definedName>
    <definedName name="TGMP" localSheetId="39">#N/A</definedName>
    <definedName name="TNACP" localSheetId="39">#N/A</definedName>
    <definedName name="TNAP" localSheetId="39">#N/A</definedName>
    <definedName name="TNATP" localSheetId="39">#N/A</definedName>
    <definedName name="TTPP" localSheetId="39">#N/A</definedName>
  </definedNames>
  <calcPr calcId="152511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#,##0;\-#,##0;\-"/>
    <numFmt numFmtId="165" formatCode="#,##0.00;\-#,##0.00;\-"/>
    <numFmt numFmtId="166" formatCode="_ * #,##0.00_ ;_ * \-#,##0.00_ ;_ * &quot;-&quot;??_ ;_ @_ "/>
    <numFmt numFmtId="167" formatCode="0.0000"/>
    <numFmt numFmtId="168" formatCode="_-[$$-409]* #,##0.00_ ;_-[$$-409]* \-#,##0.00\ ;_-[$$-409]* &quot;-&quot;??_ ;_-@_ "/>
  </numFmts>
  <fonts count="17">
    <font>
      <name val="Calibri"/>
      <charset val="134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4"/>
    </font>
    <font>
      <name val="宋体"/>
      <charset val="134"/>
      <family val="3"/>
      <b val="1"/>
      <color rgb="FF0563C1"/>
      <sz val="11"/>
      <u val="single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0000FF"/>
      <sz val="11"/>
    </font>
    <font>
      <name val="宋体"/>
      <charset val="134"/>
      <family val="3"/>
      <color rgb="FF0000FF"/>
      <sz val="11"/>
    </font>
    <font>
      <name val="宋体"/>
      <charset val="134"/>
      <family val="3"/>
      <i val="1"/>
      <sz val="11"/>
    </font>
    <font>
      <name val="宋体"/>
      <charset val="134"/>
      <family val="3"/>
      <b val="1"/>
      <color rgb="FFFF0000"/>
      <sz val="11"/>
    </font>
    <font>
      <name val="宋体"/>
      <charset val="134"/>
      <family val="3"/>
      <color theme="10"/>
      <sz val="11"/>
      <u val="single"/>
    </font>
    <font>
      <name val="宋体"/>
      <charset val="134"/>
      <family val="3"/>
      <i val="1"/>
      <color theme="1" tint="0.3499862666707358"/>
      <sz val="11"/>
    </font>
    <font>
      <name val="宋体"/>
      <charset val="134"/>
      <family val="3"/>
      <color rgb="FFFF0000"/>
      <sz val="11"/>
    </font>
    <font>
      <name val="宋体"/>
      <charset val="134"/>
      <family val="3"/>
      <color theme="10"/>
      <sz val="11"/>
      <u val="single"/>
    </font>
    <font>
      <name val="Calibri"/>
      <family val="2"/>
      <sz val="11"/>
    </font>
    <font>
      <name val="Calibri"/>
      <family val="2"/>
      <color theme="10"/>
      <sz val="11"/>
      <u val="single"/>
    </font>
    <font>
      <name val="等线"/>
      <charset val="134"/>
      <family val="3"/>
      <color theme="1"/>
      <sz val="10"/>
      <scheme val="minor"/>
    </font>
    <font>
      <name val="Calibri"/>
      <family val="2"/>
      <sz val="9"/>
    </font>
  </fonts>
  <fills count="20">
    <fill>
      <patternFill/>
    </fill>
    <fill>
      <patternFill patternType="gray125"/>
    </fill>
    <fill>
      <patternFill patternType="solid">
        <fgColor rgb="FFCAD9E7"/>
        <bgColor indexed="64"/>
      </patternFill>
    </fill>
    <fill>
      <patternFill patternType="solid">
        <fgColor rgb="FFF2F9FB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CCFF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DashDot">
        <color theme="0" tint="-0.499984740745262"/>
      </left>
      <right/>
      <top style="mediumDashDot">
        <color theme="0" tint="-0.499984740745262"/>
      </top>
      <bottom style="mediumDashDot">
        <color theme="0" tint="-0.499984740745262"/>
      </bottom>
      <diagonal/>
    </border>
    <border>
      <left/>
      <right/>
      <top style="mediumDashDot">
        <color theme="0" tint="-0.499984740745262"/>
      </top>
      <bottom style="mediumDashDot">
        <color theme="0" tint="-0.499984740745262"/>
      </bottom>
      <diagonal/>
    </border>
    <border>
      <left/>
      <right style="mediumDashDot">
        <color theme="0" tint="-0.499984740745262"/>
      </right>
      <top style="mediumDashDot">
        <color theme="0" tint="-0.499984740745262"/>
      </top>
      <bottom style="mediumDashDot">
        <color theme="0" tint="-0.499984740745262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DashDot">
        <color theme="0" tint="-0.499984740745262"/>
      </left>
      <right style="mediumDashDot">
        <color theme="0" tint="-0.499984740745262"/>
      </right>
      <top style="mediumDashDot">
        <color theme="0" tint="-0.499984740745262"/>
      </top>
      <bottom style="mediumDashDot">
        <color theme="0" tint="-0.499984740745262"/>
      </bottom>
      <diagonal/>
    </border>
    <border>
      <left/>
      <right/>
      <top style="mediumDashDot">
        <color theme="0" tint="-0.499984740745262"/>
      </top>
      <bottom/>
      <diagonal/>
    </border>
    <border>
      <left/>
      <right style="mediumDashDot">
        <color theme="0" tint="-0.499984740745262"/>
      </right>
      <top style="mediumDashDot">
        <color theme="0" tint="-0.499984740745262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43" fontId="13" fillId="0" borderId="0" applyAlignment="1">
      <alignment vertical="center"/>
    </xf>
    <xf numFmtId="0" fontId="14" fillId="0" borderId="0"/>
    <xf numFmtId="0" fontId="13" fillId="0" borderId="0"/>
    <xf numFmtId="168" fontId="15" fillId="0" borderId="0" applyAlignment="1">
      <alignment vertical="center"/>
    </xf>
  </cellStyleXfs>
  <cellXfs count="17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right" vertical="top"/>
    </xf>
    <xf numFmtId="0" fontId="4" fillId="2" borderId="1" applyAlignment="1" pivotButton="0" quotePrefix="0" xfId="0">
      <alignment horizontal="center" vertical="center"/>
    </xf>
    <xf numFmtId="0" fontId="1" fillId="0" borderId="0" applyProtection="1" pivotButton="0" quotePrefix="0" xfId="0">
      <protection locked="0" hidden="0"/>
    </xf>
    <xf numFmtId="0" fontId="1" fillId="3" borderId="1" pivotButton="0" quotePrefix="0" xfId="0"/>
    <xf numFmtId="0" fontId="1" fillId="4" borderId="1" pivotButton="0" quotePrefix="0" xfId="0"/>
    <xf numFmtId="164" fontId="1" fillId="4" borderId="1" pivotButton="0" quotePrefix="0" xfId="0"/>
    <xf numFmtId="165" fontId="1" fillId="4" borderId="1" pivotButton="0" quotePrefix="0" xfId="0"/>
    <xf numFmtId="0" fontId="1" fillId="0" borderId="1" applyProtection="1" pivotButton="0" quotePrefix="0" xfId="0">
      <protection locked="0" hidden="0"/>
    </xf>
    <xf numFmtId="164" fontId="1" fillId="0" borderId="1" applyProtection="1" pivotButton="0" quotePrefix="0" xfId="0">
      <protection locked="0" hidden="0"/>
    </xf>
    <xf numFmtId="10" fontId="1" fillId="0" borderId="1" applyProtection="1" pivotButton="0" quotePrefix="0" xfId="0">
      <protection locked="0" hidden="0"/>
    </xf>
    <xf numFmtId="165" fontId="1" fillId="0" borderId="1" applyProtection="1" pivotButton="0" quotePrefix="0" xfId="0">
      <protection locked="0" hidden="0"/>
    </xf>
    <xf numFmtId="0" fontId="4" fillId="4" borderId="1" pivotButton="0" quotePrefix="0" xfId="0"/>
    <xf numFmtId="0" fontId="4" fillId="3" borderId="1" pivotButton="0" quotePrefix="0" xfId="0"/>
    <xf numFmtId="0" fontId="4" fillId="0" borderId="1" applyProtection="1" pivotButton="0" quotePrefix="0" xfId="0">
      <protection locked="0" hidden="0"/>
    </xf>
    <xf numFmtId="164" fontId="4" fillId="0" borderId="1" applyProtection="1" pivotButton="0" quotePrefix="0" xfId="0">
      <protection locked="0" hidden="0"/>
    </xf>
    <xf numFmtId="10" fontId="4" fillId="0" borderId="1" applyProtection="1" pivotButton="0" quotePrefix="0" xfId="0">
      <protection locked="0" hidden="0"/>
    </xf>
    <xf numFmtId="165" fontId="4" fillId="5" borderId="1" pivotButton="0" quotePrefix="0" xfId="0"/>
    <xf numFmtId="165" fontId="1" fillId="6" borderId="1" pivotButton="0" quotePrefix="0" xfId="0"/>
    <xf numFmtId="0" fontId="1" fillId="5" borderId="1" pivotButton="0" quotePrefix="0" xfId="0"/>
    <xf numFmtId="10" fontId="1" fillId="5" borderId="1" pivotButton="0" quotePrefix="0" xfId="0"/>
    <xf numFmtId="10" fontId="1" fillId="7" borderId="1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6" fillId="0" borderId="0" applyProtection="1" pivotButton="0" quotePrefix="0" xfId="0">
      <protection locked="0" hidden="0"/>
    </xf>
    <xf numFmtId="0" fontId="4" fillId="8" borderId="1" applyAlignment="1" pivotButton="0" quotePrefix="0" xfId="0">
      <alignment horizontal="center" vertical="center"/>
    </xf>
    <xf numFmtId="165" fontId="1" fillId="5" borderId="1" pivotButton="0" quotePrefix="0" xfId="0"/>
    <xf numFmtId="165" fontId="1" fillId="9" borderId="1" pivotButton="0" quotePrefix="0" xfId="0"/>
    <xf numFmtId="165" fontId="4" fillId="4" borderId="1" pivotButton="0" quotePrefix="0" xfId="0"/>
    <xf numFmtId="0" fontId="4" fillId="0" borderId="0" applyProtection="1" pivotButton="0" quotePrefix="0" xfId="0">
      <protection locked="0" hidden="0"/>
    </xf>
    <xf numFmtId="0" fontId="7" fillId="10" borderId="1" pivotButton="0" quotePrefix="0" xfId="0"/>
    <xf numFmtId="0" fontId="1" fillId="10" borderId="1" pivotButton="0" quotePrefix="0" xfId="0"/>
    <xf numFmtId="10" fontId="1" fillId="10" borderId="1" pivotButton="0" quotePrefix="0" xfId="0"/>
    <xf numFmtId="165" fontId="1" fillId="10" borderId="1" pivotButton="0" quotePrefix="0" xfId="0"/>
    <xf numFmtId="165" fontId="1" fillId="3" borderId="1" pivotButton="0" quotePrefix="0" xfId="0"/>
    <xf numFmtId="165" fontId="4" fillId="3" borderId="1" pivotButton="0" quotePrefix="0" xfId="0"/>
    <xf numFmtId="165" fontId="4" fillId="0" borderId="1" applyProtection="1" pivotButton="0" quotePrefix="0" xfId="0">
      <protection locked="0" hidden="0"/>
    </xf>
    <xf numFmtId="10" fontId="4" fillId="2" borderId="1" applyAlignment="1" pivotButton="0" quotePrefix="0" xfId="0">
      <alignment horizontal="center" vertical="center"/>
    </xf>
    <xf numFmtId="166" fontId="1" fillId="0" borderId="0" applyAlignment="1" pivotButton="0" quotePrefix="0" xfId="0">
      <alignment horizontal="right" vertical="center"/>
    </xf>
    <xf numFmtId="164" fontId="1" fillId="10" borderId="1" pivotButton="0" quotePrefix="0" xfId="0"/>
    <xf numFmtId="0" fontId="8" fillId="0" borderId="0" applyProtection="1" pivotButton="0" quotePrefix="0" xfId="0">
      <protection locked="0" hidden="0"/>
    </xf>
    <xf numFmtId="0" fontId="1" fillId="0" borderId="2" applyProtection="1" pivotButton="0" quotePrefix="0" xfId="0">
      <protection locked="0" hidden="0"/>
    </xf>
    <xf numFmtId="0" fontId="1" fillId="4" borderId="0" applyProtection="1" pivotButton="0" quotePrefix="0" xfId="0">
      <protection locked="0" hidden="0"/>
    </xf>
    <xf numFmtId="0" fontId="1" fillId="0" borderId="3" applyProtection="1" pivotButton="0" quotePrefix="0" xfId="0">
      <protection locked="0" hidden="0"/>
    </xf>
    <xf numFmtId="166" fontId="1" fillId="0" borderId="1" applyProtection="1" pivotButton="0" quotePrefix="0" xfId="1">
      <protection locked="0" hidden="0"/>
    </xf>
    <xf numFmtId="10" fontId="1" fillId="4" borderId="1" pivotButton="0" quotePrefix="0" xfId="0"/>
    <xf numFmtId="10" fontId="1" fillId="3" borderId="1" pivotButton="0" quotePrefix="0" xfId="0"/>
    <xf numFmtId="10" fontId="4" fillId="3" borderId="1" pivotButton="0" quotePrefix="0" xfId="0"/>
    <xf numFmtId="165" fontId="1" fillId="7" borderId="1" applyProtection="1" pivotButton="0" quotePrefix="0" xfId="0">
      <protection locked="0" hidden="0"/>
    </xf>
    <xf numFmtId="10" fontId="4" fillId="4" borderId="1" pivotButton="0" quotePrefix="0" xfId="0"/>
    <xf numFmtId="165" fontId="1" fillId="11" borderId="1" applyProtection="1" pivotButton="0" quotePrefix="0" xfId="0">
      <protection locked="0" hidden="0"/>
    </xf>
    <xf numFmtId="0" fontId="1" fillId="12" borderId="1" applyProtection="1" pivotButton="0" quotePrefix="0" xfId="0">
      <protection locked="0" hidden="0"/>
    </xf>
    <xf numFmtId="165" fontId="4" fillId="11" borderId="1" applyProtection="1" pivotButton="0" quotePrefix="0" xfId="0">
      <protection locked="0" hidden="0"/>
    </xf>
    <xf numFmtId="0" fontId="1" fillId="11" borderId="1" pivotButton="0" quotePrefix="0" xfId="0"/>
    <xf numFmtId="165" fontId="1" fillId="11" borderId="1" pivotButton="0" quotePrefix="0" xfId="0"/>
    <xf numFmtId="10" fontId="1" fillId="13" borderId="1" pivotButton="0" quotePrefix="0" xfId="0"/>
    <xf numFmtId="10" fontId="7" fillId="10" borderId="1" pivotButton="0" quotePrefix="0" xfId="0"/>
    <xf numFmtId="164" fontId="7" fillId="10" borderId="1" pivotButton="0" quotePrefix="0" xfId="0"/>
    <xf numFmtId="0" fontId="3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right" vertical="top"/>
      <protection locked="0" hidden="0"/>
    </xf>
    <xf numFmtId="0" fontId="1" fillId="2" borderId="1" applyAlignment="1" pivotButton="0" quotePrefix="0" xfId="0">
      <alignment horizontal="center" vertical="center"/>
    </xf>
    <xf numFmtId="49" fontId="1" fillId="11" borderId="1" pivotButton="0" quotePrefix="0" xfId="0"/>
    <xf numFmtId="10" fontId="1" fillId="11" borderId="1" pivotButton="0" quotePrefix="0" xfId="0"/>
    <xf numFmtId="0" fontId="1" fillId="9" borderId="1" pivotButton="0" quotePrefix="0" xfId="0"/>
    <xf numFmtId="167" fontId="1" fillId="5" borderId="1" pivotButton="0" quotePrefix="0" xfId="0"/>
    <xf numFmtId="0" fontId="7" fillId="0" borderId="0" applyProtection="1" pivotButton="0" quotePrefix="0" xfId="0">
      <protection locked="0" hidden="0"/>
    </xf>
    <xf numFmtId="0" fontId="4" fillId="8" borderId="1" applyAlignment="1" pivotButton="0" quotePrefix="0" xfId="0">
      <alignment horizontal="center" vertical="center" wrapText="1"/>
    </xf>
    <xf numFmtId="165" fontId="4" fillId="9" borderId="1" pivotButton="0" quotePrefix="0" xfId="0"/>
    <xf numFmtId="0" fontId="4" fillId="8" borderId="0" pivotButton="0" quotePrefix="0" xfId="0"/>
    <xf numFmtId="0" fontId="1" fillId="8" borderId="0" pivotButton="0" quotePrefix="0" xfId="0"/>
    <xf numFmtId="164" fontId="1" fillId="0" borderId="0" pivotButton="0" quotePrefix="0" xfId="0"/>
    <xf numFmtId="10" fontId="1" fillId="0" borderId="0" pivotButton="0" quotePrefix="0" xfId="0"/>
    <xf numFmtId="0" fontId="1" fillId="0" borderId="1" pivotButton="0" quotePrefix="0" xfId="0"/>
    <xf numFmtId="0" fontId="0" fillId="2" borderId="0" pivotButton="0" quotePrefix="0" xfId="0"/>
    <xf numFmtId="22" fontId="0" fillId="0" borderId="0" pivotButton="0" quotePrefix="0" xfId="0"/>
    <xf numFmtId="0" fontId="0" fillId="0" borderId="0" applyProtection="1" pivotButton="0" quotePrefix="0" xfId="0">
      <protection locked="0" hidden="0"/>
    </xf>
    <xf numFmtId="0" fontId="1" fillId="0" borderId="0" applyAlignment="1" pivotButton="0" quotePrefix="0" xfId="3">
      <alignment wrapText="1"/>
    </xf>
    <xf numFmtId="0" fontId="1" fillId="0" borderId="0" pivotButton="0" quotePrefix="0" xfId="3"/>
    <xf numFmtId="0" fontId="9" fillId="0" borderId="7" applyAlignment="1" pivotButton="0" quotePrefix="0" xfId="2">
      <alignment horizontal="center" vertical="center" wrapText="1"/>
    </xf>
    <xf numFmtId="0" fontId="8" fillId="0" borderId="8" applyAlignment="1" pivotButton="0" quotePrefix="0" xfId="3">
      <alignment horizontal="center"/>
    </xf>
    <xf numFmtId="0" fontId="4" fillId="0" borderId="0" pivotButton="0" quotePrefix="0" xfId="3"/>
    <xf numFmtId="0" fontId="8" fillId="0" borderId="0" applyAlignment="1" pivotButton="0" quotePrefix="0" xfId="3">
      <alignment horizontal="center" vertical="center"/>
    </xf>
    <xf numFmtId="0" fontId="9" fillId="15" borderId="7" applyAlignment="1" pivotButton="0" quotePrefix="0" xfId="2">
      <alignment horizontal="center" vertical="center" wrapText="1"/>
    </xf>
    <xf numFmtId="0" fontId="11" fillId="0" borderId="0" applyAlignment="1" pivotButton="0" quotePrefix="0" xfId="3">
      <alignment horizontal="center" vertical="center"/>
    </xf>
    <xf numFmtId="0" fontId="9" fillId="16" borderId="7" applyAlignment="1" pivotButton="0" quotePrefix="0" xfId="2">
      <alignment horizontal="center" vertical="center" wrapText="1"/>
    </xf>
    <xf numFmtId="0" fontId="8" fillId="0" borderId="0" applyAlignment="1" pivotButton="0" quotePrefix="0" xfId="3">
      <alignment horizontal="left" vertical="center" wrapText="1"/>
    </xf>
    <xf numFmtId="0" fontId="8" fillId="0" borderId="0" applyAlignment="1" pivotButton="0" quotePrefix="0" xfId="3">
      <alignment horizontal="center"/>
    </xf>
    <xf numFmtId="0" fontId="9" fillId="14" borderId="7" applyAlignment="1" pivotButton="0" quotePrefix="0" xfId="2">
      <alignment horizontal="center" vertical="center" wrapText="1"/>
    </xf>
    <xf numFmtId="0" fontId="1" fillId="0" borderId="0" applyAlignment="1" pivotButton="0" quotePrefix="0" xfId="3">
      <alignment horizontal="center" vertical="center" wrapText="1"/>
    </xf>
    <xf numFmtId="0" fontId="9" fillId="19" borderId="7" applyAlignment="1" pivotButton="0" quotePrefix="0" xfId="2">
      <alignment horizontal="center" vertical="center" wrapText="1"/>
    </xf>
    <xf numFmtId="0" fontId="1" fillId="0" borderId="0" applyAlignment="1" pivotButton="0" quotePrefix="0" xfId="3">
      <alignment horizontal="center"/>
    </xf>
    <xf numFmtId="0" fontId="8" fillId="0" borderId="0" applyAlignment="1" pivotButton="0" quotePrefix="0" xfId="3">
      <alignment horizontal="center" vertical="center" wrapText="1"/>
    </xf>
    <xf numFmtId="49" fontId="1" fillId="0" borderId="0" pivotButton="0" quotePrefix="0" xfId="0"/>
    <xf numFmtId="49" fontId="1" fillId="0" borderId="2" pivotButton="0" quotePrefix="0" xfId="0"/>
    <xf numFmtId="0" fontId="12" fillId="0" borderId="2" pivotButton="0" quotePrefix="0" xfId="2"/>
    <xf numFmtId="0" fontId="1" fillId="0" borderId="0" applyAlignment="1" pivotButton="0" quotePrefix="0" xfId="0">
      <alignment vertical="top"/>
    </xf>
    <xf numFmtId="165" fontId="1" fillId="0" borderId="1" applyProtection="1" pivotButton="0" quotePrefix="0" xfId="0">
      <protection locked="0" hidden="0"/>
    </xf>
    <xf numFmtId="0" fontId="1" fillId="0" borderId="1" applyProtection="1" pivotButton="0" quotePrefix="0" xfId="0">
      <protection locked="0" hidden="0"/>
    </xf>
    <xf numFmtId="49" fontId="2" fillId="0" borderId="2" applyAlignment="1" pivotButton="0" quotePrefix="0" xfId="0">
      <alignment horizontal="center" vertical="center"/>
    </xf>
    <xf numFmtId="0" fontId="9" fillId="0" borderId="12" applyAlignment="1" pivotButton="0" quotePrefix="0" xfId="2">
      <alignment horizontal="center" vertical="center" wrapText="1"/>
    </xf>
    <xf numFmtId="0" fontId="1" fillId="0" borderId="13" applyAlignment="1" pivotButton="0" quotePrefix="0" xfId="3">
      <alignment horizontal="center" vertical="center" wrapText="1"/>
    </xf>
    <xf numFmtId="0" fontId="1" fillId="0" borderId="14" applyAlignment="1" pivotButton="0" quotePrefix="0" xfId="3">
      <alignment horizontal="center" vertical="center" wrapText="1"/>
    </xf>
    <xf numFmtId="0" fontId="9" fillId="18" borderId="12" applyAlignment="1" pivotButton="0" quotePrefix="0" xfId="2">
      <alignment horizontal="center" vertical="center" wrapText="1"/>
    </xf>
    <xf numFmtId="0" fontId="9" fillId="18" borderId="13" applyAlignment="1" pivotButton="0" quotePrefix="0" xfId="2">
      <alignment horizontal="center" vertical="center" wrapText="1"/>
    </xf>
    <xf numFmtId="0" fontId="9" fillId="18" borderId="14" applyAlignment="1" pivotButton="0" quotePrefix="0" xfId="2">
      <alignment horizontal="center" vertical="center" wrapText="1"/>
    </xf>
    <xf numFmtId="0" fontId="2" fillId="0" borderId="0" applyAlignment="1" pivotButton="0" quotePrefix="0" xfId="3">
      <alignment horizontal="center"/>
    </xf>
    <xf numFmtId="0" fontId="10" fillId="0" borderId="9" applyAlignment="1" pivotButton="0" quotePrefix="0" xfId="3">
      <alignment horizontal="center" vertical="center" wrapText="1"/>
    </xf>
    <xf numFmtId="0" fontId="10" fillId="0" borderId="10" applyAlignment="1" pivotButton="0" quotePrefix="0" xfId="3">
      <alignment horizontal="center" vertical="center" wrapText="1"/>
    </xf>
    <xf numFmtId="0" fontId="10" fillId="0" borderId="11" applyAlignment="1" pivotButton="0" quotePrefix="0" xfId="3">
      <alignment horizontal="center" vertical="center" wrapText="1"/>
    </xf>
    <xf numFmtId="0" fontId="9" fillId="14" borderId="12" applyAlignment="1" pivotButton="0" quotePrefix="0" xfId="2">
      <alignment horizontal="center" vertical="center" wrapText="1"/>
    </xf>
    <xf numFmtId="0" fontId="9" fillId="14" borderId="13" applyAlignment="1" pivotButton="0" quotePrefix="0" xfId="2">
      <alignment horizontal="center" vertical="center" wrapText="1"/>
    </xf>
    <xf numFmtId="0" fontId="9" fillId="14" borderId="14" applyAlignment="1" pivotButton="0" quotePrefix="0" xfId="2">
      <alignment horizontal="center" vertical="center" wrapText="1"/>
    </xf>
    <xf numFmtId="0" fontId="9" fillId="15" borderId="12" applyAlignment="1" pivotButton="0" quotePrefix="0" xfId="2">
      <alignment horizontal="center" vertical="center" wrapText="1"/>
    </xf>
    <xf numFmtId="0" fontId="9" fillId="15" borderId="13" applyAlignment="1" pivotButton="0" quotePrefix="0" xfId="2">
      <alignment horizontal="center" vertical="center" wrapText="1"/>
    </xf>
    <xf numFmtId="0" fontId="9" fillId="15" borderId="14" applyAlignment="1" pivotButton="0" quotePrefix="0" xfId="2">
      <alignment horizontal="center" vertical="center" wrapText="1"/>
    </xf>
    <xf numFmtId="0" fontId="9" fillId="17" borderId="12" applyAlignment="1" pivotButton="0" quotePrefix="0" xfId="2">
      <alignment horizontal="center" vertical="center" wrapText="1"/>
    </xf>
    <xf numFmtId="0" fontId="1" fillId="17" borderId="13" applyAlignment="1" pivotButton="0" quotePrefix="0" xfId="3">
      <alignment horizontal="center" vertical="center" wrapText="1"/>
    </xf>
    <xf numFmtId="0" fontId="1" fillId="17" borderId="14" applyAlignment="1" pivotButton="0" quotePrefix="0" xfId="3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" fillId="3" borderId="1" pivotButton="0" quotePrefix="0" xfId="0"/>
    <xf numFmtId="165" fontId="1" fillId="8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5" fontId="1" fillId="5" borderId="1" applyAlignment="1" pivotButton="0" quotePrefix="0" xfId="0">
      <alignment horizontal="center"/>
    </xf>
    <xf numFmtId="165" fontId="1" fillId="0" borderId="1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1" fillId="11" borderId="4" applyAlignment="1" pivotButton="0" quotePrefix="0" xfId="0">
      <alignment vertical="center"/>
    </xf>
    <xf numFmtId="0" fontId="1" fillId="11" borderId="5" applyAlignment="1" pivotButton="0" quotePrefix="0" xfId="0">
      <alignment vertical="center"/>
    </xf>
    <xf numFmtId="0" fontId="1" fillId="11" borderId="6" applyAlignment="1" pivotButton="0" quotePrefix="0" xfId="0">
      <alignment vertical="center"/>
    </xf>
    <xf numFmtId="0" fontId="1" fillId="11" borderId="1" applyAlignment="1" pivotButton="0" quotePrefix="0" xfId="0">
      <alignment vertical="center"/>
    </xf>
    <xf numFmtId="0" fontId="1" fillId="11" borderId="1" pivotButton="0" quotePrefix="0" xfId="0"/>
    <xf numFmtId="0" fontId="1" fillId="0" borderId="1" applyProtection="1" pivotButton="0" quotePrefix="0" xfId="0">
      <protection locked="0" hidden="0"/>
    </xf>
    <xf numFmtId="0" fontId="4" fillId="3" borderId="1" pivotButton="0" quotePrefix="0" xfId="0"/>
    <xf numFmtId="0" fontId="4" fillId="0" borderId="1" applyProtection="1" pivotButton="0" quotePrefix="0" xfId="0">
      <protection locked="0" hidden="0"/>
    </xf>
    <xf numFmtId="0" fontId="0" fillId="0" borderId="16" pivotButton="0" quotePrefix="0" xfId="0"/>
    <xf numFmtId="0" fontId="10" fillId="0" borderId="19" applyAlignment="1" pivotButton="0" quotePrefix="0" xfId="3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9" fillId="17" borderId="7" applyAlignment="1" pivotButton="0" quotePrefix="0" xfId="2">
      <alignment horizontal="center" vertical="center" wrapText="1"/>
    </xf>
    <xf numFmtId="0" fontId="9" fillId="18" borderId="7" applyAlignment="1" pivotButton="0" quotePrefix="0" xfId="2">
      <alignment horizontal="center" vertical="center" wrapText="1"/>
    </xf>
    <xf numFmtId="164" fontId="1" fillId="0" borderId="0" pivotButton="0" quotePrefix="0" xfId="0"/>
    <xf numFmtId="0" fontId="0" fillId="0" borderId="6" pivotButton="0" quotePrefix="0" xfId="0"/>
    <xf numFmtId="165" fontId="1" fillId="4" borderId="1" pivotButton="0" quotePrefix="0" xfId="0"/>
    <xf numFmtId="165" fontId="1" fillId="0" borderId="1" applyProtection="1" pivotButton="0" quotePrefix="0" xfId="0">
      <protection locked="0" hidden="0"/>
    </xf>
    <xf numFmtId="165" fontId="4" fillId="5" borderId="1" pivotButton="0" quotePrefix="0" xfId="0"/>
    <xf numFmtId="165" fontId="1" fillId="5" borderId="1" pivotButton="0" quotePrefix="0" xfId="0"/>
    <xf numFmtId="164" fontId="1" fillId="10" borderId="1" pivotButton="0" quotePrefix="0" xfId="0"/>
    <xf numFmtId="165" fontId="4" fillId="0" borderId="1" applyProtection="1" pivotButton="0" quotePrefix="0" xfId="0">
      <protection locked="0" hidden="0"/>
    </xf>
    <xf numFmtId="0" fontId="0" fillId="0" borderId="25" pivotButton="0" quotePrefix="0" xfId="0"/>
    <xf numFmtId="0" fontId="0" fillId="0" borderId="26" pivotButton="0" quotePrefix="0" xfId="0"/>
    <xf numFmtId="165" fontId="1" fillId="9" borderId="1" pivotButton="0" quotePrefix="0" xfId="0"/>
    <xf numFmtId="165" fontId="4" fillId="9" borderId="1" pivotButton="0" quotePrefix="0" xfId="0"/>
    <xf numFmtId="167" fontId="1" fillId="5" borderId="1" pivotButton="0" quotePrefix="0" xfId="0"/>
    <xf numFmtId="165" fontId="1" fillId="5" borderId="1" applyAlignment="1" pivotButton="0" quotePrefix="0" xfId="0">
      <alignment horizontal="center"/>
    </xf>
    <xf numFmtId="0" fontId="0" fillId="0" borderId="5" pivotButton="0" quotePrefix="0" xfId="0"/>
    <xf numFmtId="165" fontId="1" fillId="11" borderId="1" pivotButton="0" quotePrefix="0" xfId="0"/>
    <xf numFmtId="164" fontId="7" fillId="10" borderId="1" pivotButton="0" quotePrefix="0" xfId="0"/>
    <xf numFmtId="165" fontId="1" fillId="11" borderId="1" applyProtection="1" pivotButton="0" quotePrefix="0" xfId="0">
      <protection locked="0" hidden="0"/>
    </xf>
    <xf numFmtId="165" fontId="4" fillId="11" borderId="1" applyProtection="1" pivotButton="0" quotePrefix="0" xfId="0">
      <protection locked="0" hidden="0"/>
    </xf>
    <xf numFmtId="165" fontId="1" fillId="7" borderId="1" applyProtection="1" pivotButton="0" quotePrefix="0" xfId="0">
      <protection locked="0" hidden="0"/>
    </xf>
    <xf numFmtId="166" fontId="1" fillId="0" borderId="1" applyProtection="1" pivotButton="0" quotePrefix="0" xfId="1">
      <protection locked="0" hidden="0"/>
    </xf>
    <xf numFmtId="166" fontId="1" fillId="0" borderId="0" applyAlignment="1" pivotButton="0" quotePrefix="0" xfId="0">
      <alignment horizontal="right" vertical="center"/>
    </xf>
    <xf numFmtId="0" fontId="0" fillId="0" borderId="24" pivotButton="0" quotePrefix="0" xfId="0"/>
    <xf numFmtId="0" fontId="0" fillId="0" borderId="28" pivotButton="0" quotePrefix="0" xfId="0"/>
    <xf numFmtId="0" fontId="0" fillId="0" borderId="29" pivotButton="0" quotePrefix="0" xfId="0"/>
    <xf numFmtId="165" fontId="4" fillId="4" borderId="1" pivotButton="0" quotePrefix="0" xfId="0"/>
    <xf numFmtId="165" fontId="1" fillId="3" borderId="1" pivotButton="0" quotePrefix="0" xfId="0"/>
    <xf numFmtId="165" fontId="4" fillId="3" borderId="1" pivotButton="0" quotePrefix="0" xfId="0"/>
    <xf numFmtId="165" fontId="1" fillId="10" borderId="1" pivotButton="0" quotePrefix="0" xfId="0"/>
    <xf numFmtId="165" fontId="1" fillId="6" borderId="1" pivotButton="0" quotePrefix="0" xfId="0"/>
    <xf numFmtId="164" fontId="1" fillId="4" borderId="1" pivotButton="0" quotePrefix="0" xfId="0"/>
    <xf numFmtId="164" fontId="1" fillId="0" borderId="1" applyProtection="1" pivotButton="0" quotePrefix="0" xfId="0">
      <protection locked="0" hidden="0"/>
    </xf>
    <xf numFmtId="164" fontId="4" fillId="0" borderId="1" applyProtection="1" pivotButton="0" quotePrefix="0" xfId="0">
      <protection locked="0" hidden="0"/>
    </xf>
  </cellXfs>
  <cellStyles count="5">
    <cellStyle name="常规" xfId="0" builtinId="0"/>
    <cellStyle name="千位分隔" xfId="1" builtinId="3"/>
    <cellStyle name="超链接" xfId="2" builtinId="8"/>
    <cellStyle name="常规 2" xfId="3"/>
    <cellStyle name="常规 3" xfId="4"/>
  </cellStyles>
  <dxfs count="40"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ill>
        <patternFill patternType="solid">
          <bgColor rgb="FFF4B084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42"/>
  <sheetViews>
    <sheetView showGridLines="0" topLeftCell="A22" workbookViewId="0">
      <selection activeCell="A24" sqref="A24"/>
    </sheetView>
  </sheetViews>
  <sheetFormatPr baseColWidth="8" defaultColWidth="9.109375" defaultRowHeight="14.4"/>
  <cols>
    <col width="27.5546875" customWidth="1" style="93" min="1" max="1"/>
    <col width="31.77734375" customWidth="1" style="1" min="2" max="2"/>
    <col width="9.109375" customWidth="1" style="1" min="3" max="3"/>
    <col width="9.109375" customWidth="1" style="1" min="4" max="16384"/>
  </cols>
  <sheetData>
    <row r="1" ht="27" customHeight="1">
      <c r="A1" s="99" t="inlineStr">
        <is>
          <t>目  录</t>
        </is>
      </c>
      <c r="B1" s="138" t="n"/>
    </row>
    <row r="2" ht="16.2" customHeight="1">
      <c r="A2" s="94" t="inlineStr">
        <is>
          <t>项目信息</t>
        </is>
      </c>
      <c r="B2" s="95">
        <f>HYPERLINK("#'"&amp;A2&amp;"'!A1",A2)</f>
        <v/>
      </c>
    </row>
    <row r="3" ht="16.2" customHeight="1">
      <c r="A3" s="94" t="inlineStr">
        <is>
          <t>辅助检查汇总表</t>
        </is>
      </c>
      <c r="B3" s="95">
        <f>HYPERLINK("#'"&amp;A3&amp;"'!A1",A3)</f>
        <v/>
      </c>
    </row>
    <row r="4" ht="16.2" customHeight="1">
      <c r="A4" s="94" t="inlineStr">
        <is>
          <t>历资表</t>
        </is>
      </c>
      <c r="B4" s="95">
        <f>HYPERLINK("#'"&amp;A4&amp;"'!A1",A4)</f>
        <v/>
      </c>
    </row>
    <row r="5" ht="16.2" customHeight="1">
      <c r="A5" s="94" t="inlineStr">
        <is>
          <t>历利表</t>
        </is>
      </c>
      <c r="B5" s="95">
        <f>HYPERLINK("#'"&amp;A5&amp;"'!A1",A5)</f>
        <v/>
      </c>
    </row>
    <row r="6" ht="16.2" customHeight="1">
      <c r="A6" s="94" t="inlineStr">
        <is>
          <t>历现表</t>
        </is>
      </c>
      <c r="B6" s="95">
        <f>HYPERLINK("#'"&amp;A6&amp;"'!A1",A6)</f>
        <v/>
      </c>
    </row>
    <row r="7" ht="16.2" customHeight="1">
      <c r="A7" s="94" t="inlineStr">
        <is>
          <t>历资调整后表</t>
        </is>
      </c>
      <c r="B7" s="95">
        <f>HYPERLINK("#'"&amp;A7&amp;"'!A1",A7)</f>
        <v/>
      </c>
    </row>
    <row r="8" ht="16.2" customHeight="1">
      <c r="A8" s="94" t="inlineStr">
        <is>
          <t>历利调整后表</t>
        </is>
      </c>
      <c r="B8" s="95">
        <f>HYPERLINK("#'"&amp;A8&amp;"'!A1",A8)</f>
        <v/>
      </c>
    </row>
    <row r="9" ht="16.2" customHeight="1">
      <c r="A9" s="94" t="inlineStr">
        <is>
          <t>评估结果汇总表</t>
        </is>
      </c>
      <c r="B9" s="95">
        <f>HYPERLINK("#'"&amp;A9&amp;"'!A1",A9)</f>
        <v/>
      </c>
    </row>
    <row r="10" ht="16.2" customHeight="1">
      <c r="A10" s="94" t="inlineStr">
        <is>
          <t>净现金流计算表</t>
        </is>
      </c>
      <c r="B10" s="95">
        <f>HYPERLINK("#'"&amp;A10&amp;"'!A1",A10)</f>
        <v/>
      </c>
    </row>
    <row r="11" ht="16.2" customHeight="1">
      <c r="A11" s="94" t="inlineStr">
        <is>
          <t>主要产品及服务</t>
        </is>
      </c>
      <c r="B11" s="95">
        <f>HYPERLINK("#'"&amp;A11&amp;"'!A1",A11)</f>
        <v/>
      </c>
    </row>
    <row r="12" ht="16.2" customHeight="1">
      <c r="A12" s="94" t="inlineStr">
        <is>
          <t>营业收入表</t>
        </is>
      </c>
      <c r="B12" s="95">
        <f>HYPERLINK("#'"&amp;A12&amp;"'!A1",A12)</f>
        <v/>
      </c>
    </row>
    <row r="13" ht="16.2" customHeight="1">
      <c r="A13" s="94" t="inlineStr">
        <is>
          <t>营业收入附表</t>
        </is>
      </c>
      <c r="B13" s="95">
        <f>HYPERLINK("#'"&amp;A13&amp;"'!A1",A13)</f>
        <v/>
      </c>
    </row>
    <row r="14" ht="16.2" customHeight="1">
      <c r="A14" s="94" t="inlineStr">
        <is>
          <t>营业成本表</t>
        </is>
      </c>
      <c r="B14" s="95">
        <f>HYPERLINK("#'"&amp;A14&amp;"'!A1",A14)</f>
        <v/>
      </c>
    </row>
    <row r="15" ht="16.2" customHeight="1">
      <c r="A15" s="94" t="inlineStr">
        <is>
          <t>营业成本附表</t>
        </is>
      </c>
      <c r="B15" s="95">
        <f>HYPERLINK("#'"&amp;A15&amp;"'!A1",A15)</f>
        <v/>
      </c>
    </row>
    <row r="16" ht="16.2" customHeight="1">
      <c r="A16" s="94" t="inlineStr">
        <is>
          <t>人工成本表</t>
        </is>
      </c>
      <c r="B16" s="95">
        <f>HYPERLINK("#'"&amp;A16&amp;"'!A1",A16)</f>
        <v/>
      </c>
    </row>
    <row r="17" ht="16.2" customHeight="1">
      <c r="A17" s="94" t="inlineStr">
        <is>
          <t>制造费用表</t>
        </is>
      </c>
      <c r="B17" s="95">
        <f>HYPERLINK("#'"&amp;A17&amp;"'!A1",A17)</f>
        <v/>
      </c>
    </row>
    <row r="18" ht="16.2" customHeight="1">
      <c r="A18" s="94" t="inlineStr">
        <is>
          <t>税金及附加表</t>
        </is>
      </c>
      <c r="B18" s="95">
        <f>HYPERLINK("#'"&amp;A18&amp;"'!A1",A18)</f>
        <v/>
      </c>
    </row>
    <row r="19" ht="16.2" customHeight="1">
      <c r="A19" s="94" t="inlineStr">
        <is>
          <t>增值税表</t>
        </is>
      </c>
      <c r="B19" s="95">
        <f>HYPERLINK("#'"&amp;A19&amp;"'!A1",A19)</f>
        <v/>
      </c>
      <c r="G19" s="96" t="n"/>
    </row>
    <row r="20" ht="16.2" customHeight="1">
      <c r="A20" s="94" t="inlineStr">
        <is>
          <t>销售费用表</t>
        </is>
      </c>
      <c r="B20" s="95">
        <f>HYPERLINK("#'"&amp;A20&amp;"'!A1",A20)</f>
        <v/>
      </c>
    </row>
    <row r="21" ht="16.2" customHeight="1">
      <c r="A21" s="94" t="inlineStr">
        <is>
          <t>管理费用表</t>
        </is>
      </c>
      <c r="B21" s="95">
        <f>HYPERLINK("#'"&amp;A21&amp;"'!A1",A21)</f>
        <v/>
      </c>
    </row>
    <row r="22" ht="16.2" customHeight="1">
      <c r="A22" s="94" t="inlineStr">
        <is>
          <t>研发费用表</t>
        </is>
      </c>
      <c r="B22" s="95">
        <f>HYPERLINK("#'"&amp;A22&amp;"'!A1",A22)</f>
        <v/>
      </c>
    </row>
    <row r="23" ht="16.2" customHeight="1">
      <c r="A23" s="94" t="inlineStr">
        <is>
          <t>财务费用表</t>
        </is>
      </c>
      <c r="B23" s="95">
        <f>HYPERLINK("#'"&amp;A23&amp;"'!A1",A23)</f>
        <v/>
      </c>
    </row>
    <row r="24" ht="16.2" customHeight="1">
      <c r="A24" s="94" t="inlineStr">
        <is>
          <t>其他收益表</t>
        </is>
      </c>
      <c r="B24" s="95">
        <f>HYPERLINK("#'"&amp;A24&amp;"'!A1",A24)</f>
        <v/>
      </c>
    </row>
    <row r="25" ht="16.2" customHeight="1">
      <c r="A25" s="94" t="inlineStr">
        <is>
          <t>投资收益表</t>
        </is>
      </c>
      <c r="B25" s="95">
        <f>HYPERLINK("#'"&amp;A25&amp;"'!A1",A25)</f>
        <v/>
      </c>
    </row>
    <row r="26" ht="16.2" customHeight="1">
      <c r="A26" s="94" t="inlineStr">
        <is>
          <t>汇兑收益表</t>
        </is>
      </c>
      <c r="B26" s="95">
        <f>HYPERLINK("#'"&amp;A26&amp;"'!A1",A26)</f>
        <v/>
      </c>
    </row>
    <row r="27" ht="16.2" customHeight="1">
      <c r="A27" s="94" t="inlineStr">
        <is>
          <t>净敞口套期收益表</t>
        </is>
      </c>
      <c r="B27" s="95">
        <f>HYPERLINK("#'"&amp;A27&amp;"'!A1",A27)</f>
        <v/>
      </c>
    </row>
    <row r="28" ht="16.2" customHeight="1">
      <c r="A28" s="94" t="inlineStr">
        <is>
          <t>公允价值变动收益表</t>
        </is>
      </c>
      <c r="B28" s="95">
        <f>HYPERLINK("#'"&amp;A28&amp;"'!A1",A28)</f>
        <v/>
      </c>
    </row>
    <row r="29" ht="16.2" customHeight="1">
      <c r="A29" s="94" t="inlineStr">
        <is>
          <t>信用减值损失表</t>
        </is>
      </c>
      <c r="B29" s="95">
        <f>HYPERLINK("#'"&amp;A29&amp;"'!A1",A29)</f>
        <v/>
      </c>
    </row>
    <row r="30" ht="16.2" customHeight="1">
      <c r="A30" s="94" t="inlineStr">
        <is>
          <t>资产减值损失表</t>
        </is>
      </c>
      <c r="B30" s="95">
        <f>HYPERLINK("#'"&amp;A30&amp;"'!A1",A30)</f>
        <v/>
      </c>
    </row>
    <row r="31" ht="16.2" customHeight="1">
      <c r="A31" s="94" t="inlineStr">
        <is>
          <t>资产处置收益表</t>
        </is>
      </c>
      <c r="B31" s="95">
        <f>HYPERLINK("#'"&amp;A31&amp;"'!A1",A31)</f>
        <v/>
      </c>
    </row>
    <row r="32" ht="16.2" customHeight="1">
      <c r="A32" s="94" t="inlineStr">
        <is>
          <t>营业外收入表</t>
        </is>
      </c>
      <c r="B32" s="95">
        <f>HYPERLINK("#'"&amp;A32&amp;"'!A1",A32)</f>
        <v/>
      </c>
    </row>
    <row r="33" ht="16.2" customHeight="1">
      <c r="A33" s="94" t="inlineStr">
        <is>
          <t>营业外支出表</t>
        </is>
      </c>
      <c r="B33" s="95">
        <f>HYPERLINK("#'"&amp;A33&amp;"'!A1",A33)</f>
        <v/>
      </c>
    </row>
    <row r="34" ht="16.2" customHeight="1">
      <c r="A34" s="94" t="inlineStr">
        <is>
          <t>所得税表</t>
        </is>
      </c>
      <c r="B34" s="95">
        <f>HYPERLINK("#'"&amp;A34&amp;"'!A1",A34)</f>
        <v/>
      </c>
    </row>
    <row r="35" ht="16.2" customHeight="1">
      <c r="A35" s="94" t="inlineStr">
        <is>
          <t>折旧摊销、资本性支出表</t>
        </is>
      </c>
      <c r="B35" s="95">
        <f>HYPERLINK("#'"&amp;A35&amp;"'!A1",A35)</f>
        <v/>
      </c>
    </row>
    <row r="36" ht="16.2" customHeight="1">
      <c r="A36" s="94" t="inlineStr">
        <is>
          <t>折旧摊销附表</t>
        </is>
      </c>
      <c r="B36" s="95">
        <f>HYPERLINK("#'"&amp;A36&amp;"'!A1",A36)</f>
        <v/>
      </c>
    </row>
    <row r="37" ht="16.2" customHeight="1">
      <c r="A37" s="94" t="inlineStr">
        <is>
          <t>资本性支出附表</t>
        </is>
      </c>
      <c r="B37" s="95">
        <f>HYPERLINK("#'"&amp;A37&amp;"'!A1",A37)</f>
        <v/>
      </c>
    </row>
    <row r="38" ht="16.2" customHeight="1">
      <c r="A38" s="94" t="inlineStr">
        <is>
          <t>营运资金表</t>
        </is>
      </c>
      <c r="B38" s="95">
        <f>HYPERLINK("#'"&amp;A38&amp;"'!A1",A38)</f>
        <v/>
      </c>
    </row>
    <row r="39" ht="16.2" customHeight="1">
      <c r="A39" s="94" t="inlineStr">
        <is>
          <t>折现率计算表</t>
        </is>
      </c>
      <c r="B39" s="95">
        <f>HYPERLINK("#'"&amp;A39&amp;"'!A1",A39)</f>
        <v/>
      </c>
    </row>
    <row r="40" ht="16.2" customHeight="1">
      <c r="A40" s="94" t="inlineStr">
        <is>
          <t>溢余资产、非经营资产负债表</t>
        </is>
      </c>
      <c r="B40" s="95">
        <f>HYPERLINK("#'"&amp;A40&amp;"'!A1",A40)</f>
        <v/>
      </c>
    </row>
    <row r="41" ht="16.2" customHeight="1">
      <c r="A41" s="94" t="inlineStr">
        <is>
          <t>长期股权投资表</t>
        </is>
      </c>
      <c r="B41" s="95">
        <f>HYPERLINK("#'"&amp;A41&amp;"'!A1",A41)</f>
        <v/>
      </c>
    </row>
    <row r="42" ht="16.2" customHeight="1">
      <c r="A42" s="94" t="inlineStr">
        <is>
          <t>付息负债明细表</t>
        </is>
      </c>
      <c r="B42" s="95">
        <f>HYPERLINK("#'"&amp;A42&amp;"'!A1",A42)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1">
    <mergeCell ref="A1:B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43">
    <outlinePr summaryBelow="1" summaryRight="1"/>
    <pageSetUpPr/>
  </sheetPr>
  <dimension ref="A1:AL17"/>
  <sheetViews>
    <sheetView showGridLines="0" zoomScale="110" zoomScaleNormal="110" workbookViewId="0">
      <selection activeCell="A1" sqref="A1:AL1"/>
    </sheetView>
  </sheetViews>
  <sheetFormatPr baseColWidth="8" defaultColWidth="9" defaultRowHeight="14.4"/>
  <cols>
    <col width="7" customWidth="1" style="78" min="1" max="1"/>
    <col width="6.5546875" customWidth="1" style="78" min="2" max="2"/>
    <col width="2.44140625" customWidth="1" style="78" min="3" max="3"/>
    <col width="7" customWidth="1" style="78" min="4" max="4"/>
    <col width="1.88671875" customWidth="1" style="78" min="5" max="5"/>
    <col width="7" customWidth="1" style="78" min="6" max="6"/>
    <col width="2.21875" customWidth="1" style="78" min="7" max="7"/>
    <col width="7" customWidth="1" style="78" min="8" max="8"/>
    <col width="2.21875" customWidth="1" style="78" min="9" max="9"/>
    <col width="7" customWidth="1" style="78" min="10" max="10"/>
    <col width="2.21875" customWidth="1" style="78" min="11" max="11"/>
    <col width="7" customWidth="1" style="78" min="12" max="12"/>
    <col width="2.21875" customWidth="1" style="78" min="13" max="13"/>
    <col width="7" customWidth="1" style="78" min="14" max="14"/>
    <col width="2.21875" customWidth="1" style="78" min="15" max="15"/>
    <col width="7" customWidth="1" style="78" min="16" max="16"/>
    <col width="2.21875" customWidth="1" style="78" min="17" max="17"/>
    <col width="7" customWidth="1" style="78" min="18" max="18"/>
    <col width="2.21875" customWidth="1" style="78" min="19" max="19"/>
    <col width="7" customWidth="1" style="78" min="20" max="20"/>
    <col width="2.21875" customWidth="1" style="78" min="21" max="21"/>
    <col width="7.88671875" customWidth="1" style="78" min="22" max="22"/>
    <col width="2.21875" customWidth="1" style="78" min="23" max="23"/>
    <col width="7.88671875" customWidth="1" style="78" min="24" max="24"/>
    <col width="2.21875" customWidth="1" style="78" min="25" max="25"/>
    <col width="7.88671875" customWidth="1" style="78" min="26" max="26"/>
    <col width="2.109375" customWidth="1" style="78" min="27" max="27"/>
    <col width="7.88671875" customWidth="1" style="78" min="28" max="28"/>
    <col width="2.109375" customWidth="1" style="78" min="29" max="29"/>
    <col width="7.88671875" customWidth="1" style="78" min="30" max="30"/>
    <col width="2.109375" customWidth="1" style="78" min="31" max="31"/>
    <col width="7.88671875" customWidth="1" style="78" min="32" max="32"/>
    <col width="2.109375" customWidth="1" style="78" min="33" max="33"/>
    <col width="7.88671875" customWidth="1" style="78" min="34" max="34"/>
    <col width="2.109375" customWidth="1" style="78" min="35" max="35"/>
    <col width="7.88671875" customWidth="1" style="78" min="36" max="36"/>
    <col width="2.109375" customWidth="1" style="78" min="37" max="37"/>
    <col width="7.88671875" customWidth="1" style="78" min="38" max="38"/>
    <col width="9" customWidth="1" style="78" min="39" max="39"/>
    <col width="9" customWidth="1" style="78" min="40" max="16384"/>
  </cols>
  <sheetData>
    <row r="1" ht="26.7" customHeight="1">
      <c r="A1" s="106" t="inlineStr">
        <is>
          <t>目 录 导 航</t>
        </is>
      </c>
    </row>
    <row r="3" ht="40.2" customHeight="1">
      <c r="N3" s="79">
        <f>HYPERLINK("#'历资表'!A1","历资表")</f>
        <v/>
      </c>
      <c r="P3" s="79">
        <f>HYPERLINK("#'历利表'!A1","历利表")</f>
        <v/>
      </c>
      <c r="R3" s="79">
        <f>HYPERLINK("#'历现表'!A1","历现表")</f>
        <v/>
      </c>
    </row>
    <row r="4">
      <c r="N4" s="80" t="inlineStr">
        <is>
          <t>↓</t>
        </is>
      </c>
      <c r="O4" s="81" t="n"/>
      <c r="P4" s="80" t="inlineStr">
        <is>
          <t>↓</t>
        </is>
      </c>
    </row>
    <row r="5" ht="40.2" customHeight="1">
      <c r="N5" s="79">
        <f>HYPERLINK("#'历资调整后表'!A1","历资调整后表")</f>
        <v/>
      </c>
      <c r="P5" s="79">
        <f>HYPERLINK("#'历利调整后表'!A1","历利调整后表")</f>
        <v/>
      </c>
    </row>
    <row r="6">
      <c r="N6" s="80" t="inlineStr">
        <is>
          <t>↓</t>
        </is>
      </c>
      <c r="O6" s="81" t="n"/>
      <c r="P6" s="80" t="inlineStr">
        <is>
          <t>↓</t>
        </is>
      </c>
      <c r="T6" s="82" t="n"/>
    </row>
    <row r="7" ht="40.2" customHeight="1">
      <c r="F7" s="139" t="inlineStr">
        <is>
          <t>折旧摊销、资本性支出表</t>
        </is>
      </c>
      <c r="G7" s="140" t="n"/>
      <c r="H7" s="140" t="n"/>
      <c r="I7" s="140" t="n"/>
      <c r="J7" s="141" t="n"/>
      <c r="N7" s="88">
        <f>HYPERLINK("#'营运资金表'!A1","营运资金表")</f>
        <v/>
      </c>
      <c r="O7" s="142" t="n"/>
      <c r="P7" s="143" t="n"/>
      <c r="X7" s="83">
        <f>HYPERLINK("#'溢余资产、非经营资产负债表'!A1","溢余资产、非经营资产负债表")</f>
        <v/>
      </c>
      <c r="Y7" s="142" t="n"/>
      <c r="Z7" s="143" t="n"/>
      <c r="AB7" s="83">
        <f>HYPERLINK("#'付息负债明细表'!A1","付息负债明细表")</f>
        <v/>
      </c>
      <c r="AD7" s="83">
        <f>HYPERLINK("#'长期股权投资表'!A1","长期股权投资表")</f>
        <v/>
      </c>
    </row>
    <row r="8" ht="15.45" customHeight="1">
      <c r="H8" s="82" t="inlineStr">
        <is>
          <t>↓</t>
        </is>
      </c>
      <c r="O8" s="82" t="inlineStr">
        <is>
          <t>↓</t>
        </is>
      </c>
      <c r="P8" s="84" t="n"/>
      <c r="T8" s="82" t="n"/>
      <c r="Y8" s="82" t="inlineStr">
        <is>
          <t>↓</t>
        </is>
      </c>
      <c r="Z8" s="82" t="n"/>
      <c r="AA8" s="81" t="n"/>
      <c r="AB8" s="82" t="inlineStr">
        <is>
          <t>↓</t>
        </is>
      </c>
      <c r="AC8" s="81" t="n"/>
      <c r="AD8" s="82" t="inlineStr">
        <is>
          <t>↓</t>
        </is>
      </c>
    </row>
    <row r="9" ht="40.2" customHeight="1">
      <c r="B9" s="85">
        <f>HYPERLINK("#'折现率计算表'!A1","折现率计算表")</f>
        <v/>
      </c>
      <c r="C9" s="86" t="inlineStr">
        <is>
          <t>→</t>
        </is>
      </c>
      <c r="D9" s="144">
        <f>HYPERLINK("#'净现金流计算表'!A1","净现金流计算表")</f>
        <v/>
      </c>
      <c r="E9" s="142" t="n"/>
      <c r="F9" s="142" t="n"/>
      <c r="G9" s="142" t="n"/>
      <c r="H9" s="142" t="n"/>
      <c r="I9" s="142" t="n"/>
      <c r="J9" s="142" t="n"/>
      <c r="K9" s="142" t="n"/>
      <c r="L9" s="142" t="n"/>
      <c r="M9" s="142" t="n"/>
      <c r="N9" s="142" t="n"/>
      <c r="O9" s="142" t="n"/>
      <c r="P9" s="142" t="n"/>
      <c r="Q9" s="142" t="n"/>
      <c r="R9" s="142" t="n"/>
      <c r="S9" s="142" t="n"/>
      <c r="T9" s="142" t="n"/>
      <c r="U9" s="142" t="n"/>
      <c r="V9" s="142" t="n"/>
      <c r="W9" s="142" t="n"/>
      <c r="X9" s="142" t="n"/>
      <c r="Y9" s="142" t="n"/>
      <c r="Z9" s="142" t="n"/>
      <c r="AA9" s="142" t="n"/>
      <c r="AB9" s="142" t="n"/>
      <c r="AC9" s="142" t="n"/>
      <c r="AD9" s="142" t="n"/>
      <c r="AE9" s="142" t="n"/>
      <c r="AF9" s="142" t="n"/>
      <c r="AG9" s="142" t="n"/>
      <c r="AH9" s="142" t="n"/>
      <c r="AI9" s="142" t="n"/>
      <c r="AJ9" s="142" t="n"/>
      <c r="AK9" s="142" t="n"/>
      <c r="AL9" s="143" t="n"/>
    </row>
    <row r="10">
      <c r="D10" s="87" t="inlineStr">
        <is>
          <t>↑</t>
        </is>
      </c>
      <c r="E10" s="81" t="n"/>
      <c r="F10" s="87" t="inlineStr">
        <is>
          <t>↑</t>
        </is>
      </c>
      <c r="G10" s="81" t="n"/>
      <c r="H10" s="87" t="inlineStr">
        <is>
          <t>↑</t>
        </is>
      </c>
      <c r="I10" s="81" t="n"/>
      <c r="J10" s="87" t="inlineStr">
        <is>
          <t>↑</t>
        </is>
      </c>
      <c r="K10" s="81" t="n"/>
      <c r="L10" s="87" t="inlineStr">
        <is>
          <t>↑</t>
        </is>
      </c>
      <c r="M10" s="81" t="n"/>
      <c r="N10" s="87" t="inlineStr">
        <is>
          <t>↑</t>
        </is>
      </c>
      <c r="O10" s="81" t="n"/>
      <c r="P10" s="87" t="inlineStr">
        <is>
          <t>↑</t>
        </is>
      </c>
      <c r="Q10" s="81" t="n"/>
      <c r="R10" s="87" t="inlineStr">
        <is>
          <t>↑</t>
        </is>
      </c>
      <c r="S10" s="81" t="n"/>
      <c r="T10" s="87" t="inlineStr">
        <is>
          <t>↑</t>
        </is>
      </c>
      <c r="U10" s="81" t="n"/>
      <c r="V10" s="87" t="inlineStr">
        <is>
          <t>↑</t>
        </is>
      </c>
      <c r="W10" s="81" t="n"/>
      <c r="X10" s="87" t="inlineStr">
        <is>
          <t>↑</t>
        </is>
      </c>
      <c r="Y10" s="81" t="n"/>
      <c r="Z10" s="87" t="inlineStr">
        <is>
          <t>↑</t>
        </is>
      </c>
      <c r="AA10" s="81" t="n"/>
      <c r="AB10" s="87" t="inlineStr">
        <is>
          <t>↑</t>
        </is>
      </c>
      <c r="AC10" s="81" t="n"/>
      <c r="AD10" s="87" t="inlineStr">
        <is>
          <t>↑</t>
        </is>
      </c>
      <c r="AE10" s="81" t="n"/>
      <c r="AF10" s="87" t="inlineStr">
        <is>
          <t>↑</t>
        </is>
      </c>
      <c r="AG10" s="81" t="n"/>
      <c r="AH10" s="87" t="inlineStr">
        <is>
          <t>↑</t>
        </is>
      </c>
      <c r="AI10" s="81" t="n"/>
      <c r="AJ10" s="87" t="inlineStr">
        <is>
          <t>↑</t>
        </is>
      </c>
      <c r="AK10" s="81" t="n"/>
      <c r="AL10" s="87" t="inlineStr">
        <is>
          <t>↑</t>
        </is>
      </c>
    </row>
    <row r="11" ht="40.2" customFormat="1" customHeight="1" s="77">
      <c r="D11" s="88">
        <f>HYPERLINK("#'营业收入表'!A1","营业收入表")</f>
        <v/>
      </c>
      <c r="E11" s="89" t="n"/>
      <c r="F11" s="88">
        <f>HYPERLINK("#'营业成本表'!A1","营业成本表")</f>
        <v/>
      </c>
      <c r="G11" s="89" t="n"/>
      <c r="H11" s="88">
        <f>HYPERLINK("#'税金及附加表'!A1","税金及附加表")</f>
        <v/>
      </c>
      <c r="I11" s="89" t="n"/>
      <c r="J11" s="88">
        <f>HYPERLINK("#'销售费用表'!A1","销售费用表")</f>
        <v/>
      </c>
      <c r="K11" s="89" t="n"/>
      <c r="L11" s="88">
        <f>HYPERLINK("#'管理费用表'!A1","管理费用表")</f>
        <v/>
      </c>
      <c r="M11" s="89" t="n"/>
      <c r="N11" s="88">
        <f>HYPERLINK("#'研发费用表'!A1","研发费用表")</f>
        <v/>
      </c>
      <c r="O11" s="89" t="n"/>
      <c r="P11" s="88">
        <f>HYPERLINK("#'财务费用表'!A1","财务费用表")</f>
        <v/>
      </c>
      <c r="Q11" s="89" t="n"/>
      <c r="R11" s="88">
        <f>HYPERLINK("#'其他收益表'!A1","其他收益表")</f>
        <v/>
      </c>
      <c r="S11" s="89" t="n"/>
      <c r="T11" s="88">
        <f>HYPERLINK("#'投资收益表'!A1","投资收益表")</f>
        <v/>
      </c>
      <c r="U11" s="89" t="n"/>
      <c r="V11" s="88">
        <f>HYPERLINK("#'汇兑收益表'!A1","汇兑收益表")</f>
        <v/>
      </c>
      <c r="W11" s="89" t="n"/>
      <c r="X11" s="88">
        <f>HYPERLINK("#'净敞口套期收益表'!A1","净敞口套期收益表")</f>
        <v/>
      </c>
      <c r="Y11" s="89" t="n"/>
      <c r="Z11" s="88">
        <f>HYPERLINK("#'公允价值变动收益表'!A1","公允价值变动收益表")</f>
        <v/>
      </c>
      <c r="AA11" s="89" t="n"/>
      <c r="AB11" s="88">
        <f>HYPERLINK("#'信用减值损失表'!A1","信用减值损失表")</f>
        <v/>
      </c>
      <c r="AC11" s="89" t="n"/>
      <c r="AD11" s="88">
        <f>HYPERLINK("#'资产减值损失表'!A1","资产减值损失表")</f>
        <v/>
      </c>
      <c r="AE11" s="89" t="n"/>
      <c r="AF11" s="88">
        <f>HYPERLINK("#'资产处置收益表'!A1","资产处置收益表")</f>
        <v/>
      </c>
      <c r="AG11" s="89" t="n"/>
      <c r="AH11" s="88">
        <f>HYPERLINK("#'营业外收入表'!A1","营业外收入表")</f>
        <v/>
      </c>
      <c r="AI11" s="89" t="n"/>
      <c r="AJ11" s="88">
        <f>HYPERLINK("#'营业外支出表'!A1","营业外支出表")</f>
        <v/>
      </c>
      <c r="AK11" s="89" t="n"/>
      <c r="AL11" s="88">
        <f>HYPERLINK("#'所得税表'!A1","所得税表")</f>
        <v/>
      </c>
    </row>
    <row r="12">
      <c r="D12" s="80" t="inlineStr">
        <is>
          <t>↑</t>
        </is>
      </c>
      <c r="E12" s="81" t="n"/>
      <c r="F12" s="80" t="inlineStr">
        <is>
          <t>↑</t>
        </is>
      </c>
      <c r="G12" s="81" t="n"/>
      <c r="H12" s="80" t="inlineStr">
        <is>
          <t>↑</t>
        </is>
      </c>
      <c r="I12" s="81" t="n"/>
      <c r="J12" s="80" t="inlineStr">
        <is>
          <t>↑↓</t>
        </is>
      </c>
      <c r="K12" s="81" t="n"/>
      <c r="L12" s="80" t="inlineStr">
        <is>
          <t>↑↓</t>
        </is>
      </c>
      <c r="M12" s="81" t="n"/>
      <c r="N12" s="80" t="inlineStr">
        <is>
          <t>↑↓</t>
        </is>
      </c>
      <c r="O12" s="81" t="n"/>
      <c r="P12" s="81" t="n"/>
    </row>
    <row r="13" ht="40.2" customHeight="1">
      <c r="D13" s="79">
        <f>HYPERLINK("#'营业收入附表'!A1","营业收入附表")</f>
        <v/>
      </c>
      <c r="E13" s="89" t="n"/>
      <c r="F13" s="79">
        <f>HYPERLINK("#'营业成本附表'!A1","营业成本附表")</f>
        <v/>
      </c>
      <c r="G13" s="89" t="n"/>
      <c r="H13" s="79">
        <f>HYPERLINK("#'增值税表'!A1","增值税表")</f>
        <v/>
      </c>
      <c r="J13" s="79">
        <f>HYPERLINK("#'折旧摊销、资本性支出表'!A1","折旧摊销、资本性支出表")</f>
        <v/>
      </c>
      <c r="K13" s="142" t="n"/>
      <c r="L13" s="142" t="n"/>
      <c r="M13" s="142" t="n"/>
      <c r="N13" s="143" t="n"/>
      <c r="O13" s="86" t="inlineStr">
        <is>
          <t>←
→</t>
        </is>
      </c>
      <c r="P13" s="79">
        <f>HYPERLINK("#'制造费用表'!A1","制造费用表")</f>
        <v/>
      </c>
    </row>
    <row r="14">
      <c r="D14" s="80" t="inlineStr">
        <is>
          <t>↑</t>
        </is>
      </c>
      <c r="E14" s="81" t="n"/>
      <c r="F14" s="80" t="inlineStr">
        <is>
          <t>↑</t>
        </is>
      </c>
      <c r="G14" s="81" t="n"/>
      <c r="H14" s="81" t="n"/>
      <c r="I14" s="81" t="n"/>
      <c r="J14" s="87" t="inlineStr">
        <is>
          <t>↑</t>
        </is>
      </c>
      <c r="K14" s="81" t="n"/>
      <c r="L14" s="87" t="inlineStr">
        <is>
          <t>↑</t>
        </is>
      </c>
    </row>
    <row r="15" ht="40.2" customHeight="1">
      <c r="D15" s="145">
        <f>HYPERLINK("#'主要产品及服务'!A1","主要产品及服务")</f>
        <v/>
      </c>
      <c r="E15" s="142" t="n"/>
      <c r="F15" s="143" t="n"/>
      <c r="H15" s="90">
        <f>HYPERLINK("#'人工成本表'!A1","人工成本表")</f>
        <v/>
      </c>
      <c r="J15" s="79">
        <f>HYPERLINK("#'折旧摊销附表'!A1","折旧摊销附表")</f>
        <v/>
      </c>
      <c r="L15" s="79">
        <f>HYPERLINK("#'资本性支出附表'!A1","资本性支出附表")</f>
        <v/>
      </c>
      <c r="AF15" s="91" t="n"/>
    </row>
    <row r="16" ht="34.5" customHeight="1">
      <c r="K16" s="92" t="n"/>
    </row>
    <row r="17">
      <c r="AI17" s="89" t="n"/>
    </row>
    <row r="22" ht="30.75" customHeight="1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7">
    <mergeCell ref="F7:J7"/>
    <mergeCell ref="N7:P7"/>
    <mergeCell ref="A1:AL1"/>
    <mergeCell ref="D9:AL9"/>
    <mergeCell ref="J13:N13"/>
    <mergeCell ref="X7:Z7"/>
    <mergeCell ref="D15:F15"/>
  </mergeCells>
  <conditionalFormatting sqref="G15 I15:J15">
    <cfRule type="duplicateValues" priority="1" dxfId="3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2" sqref="A2:B4"/>
    </sheetView>
  </sheetViews>
  <sheetFormatPr baseColWidth="8" defaultColWidth="9" defaultRowHeight="14.4"/>
  <cols>
    <col width="20.77734375" customWidth="1" min="1" max="3"/>
  </cols>
  <sheetData>
    <row r="1">
      <c r="A1" s="74" t="inlineStr">
        <is>
          <t>申请日期</t>
        </is>
      </c>
      <c r="B1" s="74" t="inlineStr">
        <is>
          <t>Sheet名称</t>
        </is>
      </c>
      <c r="C1" s="74" t="inlineStr">
        <is>
          <t>撤销保护的原因</t>
        </is>
      </c>
    </row>
    <row r="2">
      <c r="A2" s="75" t="n"/>
      <c r="C2" s="76" t="n"/>
    </row>
    <row r="3">
      <c r="A3" s="75" t="n"/>
      <c r="C3" s="76" t="n"/>
    </row>
    <row r="4">
      <c r="A4" s="75" t="n"/>
      <c r="C4" s="76" t="n"/>
    </row>
    <row r="5">
      <c r="A5" s="75" t="n"/>
      <c r="C5" s="76" t="n"/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0" sort="1" password="F563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D11" sqref="D11"/>
    </sheetView>
  </sheetViews>
  <sheetFormatPr baseColWidth="8" defaultColWidth="9.109375" defaultRowHeight="14.4"/>
  <cols>
    <col width="35" customWidth="1" style="1" min="1" max="1"/>
    <col width="30" customWidth="1" style="1" min="2" max="2"/>
    <col width="9.109375" customWidth="1" style="1" min="3" max="3"/>
    <col width="9.109375" customWidth="1" style="1" min="4" max="16384"/>
  </cols>
  <sheetData>
    <row r="1" ht="17.4" customHeight="1">
      <c r="A1" s="119" t="inlineStr">
        <is>
          <t>收益法预测表</t>
        </is>
      </c>
      <c r="C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B3" s="3">
        <f>"金额单位："&amp;项目信息!B8&amp;""</f>
        <v/>
      </c>
    </row>
    <row r="4" ht="19.95" customHeight="1">
      <c r="A4" s="124" t="inlineStr">
        <is>
          <t>项目信息</t>
        </is>
      </c>
      <c r="B4" s="124" t="inlineStr">
        <is>
          <t>值</t>
        </is>
      </c>
    </row>
    <row r="5" ht="19.95" customHeight="1">
      <c r="A5" s="122" t="inlineStr">
        <is>
          <t>被评估企业</t>
        </is>
      </c>
      <c r="B5" s="135" t="inlineStr">
        <is>
          <t>{{COMPANY_NAME}}</t>
        </is>
      </c>
    </row>
    <row r="6" ht="19.95" customHeight="1">
      <c r="A6" s="122" t="inlineStr">
        <is>
          <t>企业类型</t>
        </is>
      </c>
      <c r="B6" s="73" t="inlineStr">
        <is>
          <t>待补充评估参数</t>
        </is>
      </c>
    </row>
    <row r="7" ht="19.95" customHeight="1">
      <c r="A7" s="122" t="inlineStr">
        <is>
          <t>评估基准日</t>
        </is>
      </c>
      <c r="B7" s="73" t="inlineStr">
        <is>
          <t>{{VALUATION_BASE_DATE}}</t>
        </is>
      </c>
    </row>
    <row r="8" ht="19.95" customHeight="1">
      <c r="A8" s="122" t="inlineStr">
        <is>
          <t>单位</t>
        </is>
      </c>
      <c r="B8" s="73" t="inlineStr">
        <is>
          <t>万元</t>
        </is>
      </c>
    </row>
    <row r="9" ht="19.95" customHeight="1">
      <c r="A9" s="122" t="inlineStr">
        <is>
          <t>被评估单位是否永续</t>
        </is>
      </c>
      <c r="B9" s="73" t="inlineStr">
        <is>
          <t>待补充评估参数</t>
        </is>
      </c>
    </row>
    <row r="10" ht="19.95" customHeight="1">
      <c r="A10" s="122" t="inlineStr">
        <is>
          <t>是否永续增长</t>
        </is>
      </c>
      <c r="B10" s="73" t="inlineStr">
        <is>
          <t>待补充评估参数</t>
        </is>
      </c>
    </row>
    <row r="11" ht="19.95" customHeight="1">
      <c r="A11" s="122" t="inlineStr">
        <is>
          <t>永续增长率</t>
        </is>
      </c>
      <c r="B11" s="73" t="inlineStr">
        <is>
          <t>待补充评估参数</t>
        </is>
      </c>
    </row>
    <row r="12" ht="19.95" customHeight="1">
      <c r="A12" s="122" t="inlineStr">
        <is>
          <t>最后一期评估期</t>
        </is>
      </c>
      <c r="B12" s="73" t="inlineStr">
        <is>
          <t>待补充评估参数</t>
        </is>
      </c>
    </row>
    <row r="13" ht="19.95" customHeight="1">
      <c r="A13" s="122" t="inlineStr">
        <is>
          <t>现金流模型</t>
        </is>
      </c>
      <c r="B13" s="73" t="inlineStr">
        <is>
          <t>待补充评估参数</t>
        </is>
      </c>
    </row>
    <row r="14" ht="19.95" customHeight="1">
      <c r="A14" s="122" t="inlineStr">
        <is>
          <t>折现方式</t>
        </is>
      </c>
      <c r="B14" s="73" t="inlineStr">
        <is>
          <t>待补充评估参数</t>
        </is>
      </c>
    </row>
    <row r="15" ht="19.95" customHeight="1">
      <c r="A15" s="122" t="inlineStr">
        <is>
          <t>使用资本结构</t>
        </is>
      </c>
      <c r="B15" s="73" t="inlineStr">
        <is>
          <t>待补充评估参数</t>
        </is>
      </c>
    </row>
    <row r="16" ht="19.95" customHeight="1">
      <c r="A16" s="122" t="inlineStr">
        <is>
          <t>折现率</t>
        </is>
      </c>
      <c r="B16" s="73" t="inlineStr">
        <is>
          <t>待补充评估参数</t>
        </is>
      </c>
    </row>
    <row r="17" ht="19.95" customHeight="1">
      <c r="A17" s="122" t="inlineStr">
        <is>
          <t>项目类型</t>
        </is>
      </c>
      <c r="B17" s="73" t="inlineStr">
        <is>
          <t>待补充评估参数</t>
        </is>
      </c>
    </row>
    <row r="18" ht="19.95" customHeight="1">
      <c r="A18" s="122" t="n"/>
      <c r="B18" s="73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2">
    <mergeCell ref="A2:B2"/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4"/>
  <sheetViews>
    <sheetView workbookViewId="0">
      <selection activeCell="E29" sqref="E29"/>
    </sheetView>
  </sheetViews>
  <sheetFormatPr baseColWidth="8" defaultColWidth="9.109375" defaultRowHeight="14.4"/>
  <cols>
    <col width="9.109375" customWidth="1" style="1" min="1" max="1"/>
    <col width="9.109375" customWidth="1" style="1" min="2" max="16384"/>
  </cols>
  <sheetData>
    <row r="1" ht="17.4" customHeight="1">
      <c r="A1" s="119" t="inlineStr">
        <is>
          <t>辅助检查汇总表</t>
        </is>
      </c>
      <c r="O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N3" s="3">
        <f>"金额单位："&amp;项目信息!B8&amp;""</f>
        <v/>
      </c>
    </row>
    <row r="4"/>
    <row r="5">
      <c r="A5" s="69" t="inlineStr">
        <is>
          <t>历资表</t>
        </is>
      </c>
      <c r="B5" s="70" t="n"/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  <c r="M5" s="70" t="n"/>
      <c r="N5" s="70" t="n"/>
    </row>
    <row r="6">
      <c r="A6" s="1">
        <f>历资表!A101</f>
        <v/>
      </c>
      <c r="B6" s="146">
        <f>历资表!B101</f>
        <v/>
      </c>
      <c r="C6" s="146">
        <f>历资表!C101</f>
        <v/>
      </c>
      <c r="D6" s="146">
        <f>历资表!D101</f>
        <v/>
      </c>
      <c r="E6" s="146">
        <f>历资表!E101</f>
        <v/>
      </c>
    </row>
    <row r="7"/>
    <row r="8">
      <c r="A8" s="69" t="inlineStr">
        <is>
          <t>历资调整后表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</row>
    <row r="9">
      <c r="A9" s="1">
        <f>历资调整后表!A101</f>
        <v/>
      </c>
      <c r="B9" s="146">
        <f>历资调整后表!B101</f>
        <v/>
      </c>
      <c r="C9" s="1">
        <f>历资调整后表!C101</f>
        <v/>
      </c>
      <c r="D9" s="146">
        <f>历资调整后表!D101</f>
        <v/>
      </c>
      <c r="E9" s="146">
        <f>历资调整后表!E101</f>
        <v/>
      </c>
      <c r="F9" s="1">
        <f>历资调整后表!F101</f>
        <v/>
      </c>
      <c r="G9" s="146">
        <f>历资调整后表!G101</f>
        <v/>
      </c>
      <c r="H9" s="146">
        <f>历资调整后表!H101</f>
        <v/>
      </c>
      <c r="I9" s="1">
        <f>历资调整后表!I101</f>
        <v/>
      </c>
      <c r="J9" s="146">
        <f>历资调整后表!J101</f>
        <v/>
      </c>
      <c r="K9" s="146">
        <f>历资调整后表!K101</f>
        <v/>
      </c>
      <c r="L9" s="1">
        <f>历资调整后表!L101</f>
        <v/>
      </c>
      <c r="M9" s="146">
        <f>历资调整后表!M101</f>
        <v/>
      </c>
      <c r="N9" s="1">
        <f>历资调整后表!N101</f>
        <v/>
      </c>
    </row>
    <row r="10"/>
    <row r="11">
      <c r="A11" s="69" t="inlineStr">
        <is>
          <t>评估结果汇总表</t>
        </is>
      </c>
      <c r="B11" s="70" t="n"/>
      <c r="C11" s="70" t="n"/>
      <c r="D11" s="70" t="n"/>
      <c r="E11" s="70" t="n"/>
      <c r="F11" s="70" t="n"/>
      <c r="G11" s="70" t="n"/>
      <c r="H11" s="70" t="n"/>
      <c r="I11" s="70" t="n"/>
      <c r="J11" s="70" t="n"/>
      <c r="K11" s="70" t="n"/>
      <c r="L11" s="70" t="n"/>
      <c r="M11" s="70" t="n"/>
      <c r="N11" s="70" t="n"/>
    </row>
    <row r="12">
      <c r="A12" s="1">
        <f>评估结果汇总表!A32</f>
        <v/>
      </c>
      <c r="B12" s="146">
        <f>评估结果汇总表!B32</f>
        <v/>
      </c>
    </row>
    <row r="13"/>
    <row r="14">
      <c r="A14" s="69" t="inlineStr">
        <is>
          <t>营业收入表</t>
        </is>
      </c>
      <c r="B14" s="70" t="n"/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</row>
    <row r="15">
      <c r="A15" s="1">
        <f>营业收入表!A19</f>
        <v/>
      </c>
      <c r="B15" s="1">
        <f>营业收入表!B19</f>
        <v/>
      </c>
      <c r="C15" s="1">
        <f>营业收入表!C19</f>
        <v/>
      </c>
      <c r="D15" s="72">
        <f>营业收入表!D19</f>
        <v/>
      </c>
      <c r="E15" s="72">
        <f>营业收入表!E19</f>
        <v/>
      </c>
      <c r="F15" s="72">
        <f>营业收入表!F19</f>
        <v/>
      </c>
      <c r="G15" s="72">
        <f>营业收入表!G19</f>
        <v/>
      </c>
      <c r="H15" s="72">
        <f>营业收入表!H19</f>
        <v/>
      </c>
      <c r="I15" s="72">
        <f>营业收入表!I19</f>
        <v/>
      </c>
      <c r="J15" s="72">
        <f>营业收入表!J19</f>
        <v/>
      </c>
      <c r="K15" s="72">
        <f>营业收入表!K19</f>
        <v/>
      </c>
      <c r="L15" s="72">
        <f>营业收入表!L19</f>
        <v/>
      </c>
      <c r="M15" s="72">
        <f>营业收入表!M19</f>
        <v/>
      </c>
    </row>
    <row r="16">
      <c r="A16" s="1">
        <f>营业收入表!A20</f>
        <v/>
      </c>
      <c r="B16" s="1">
        <f>营业收入表!B20</f>
        <v/>
      </c>
      <c r="C16" s="1">
        <f>营业收入表!C20</f>
        <v/>
      </c>
      <c r="D16" s="72">
        <f>营业收入表!D20</f>
        <v/>
      </c>
      <c r="E16" s="72">
        <f>营业收入表!E20</f>
        <v/>
      </c>
      <c r="F16" s="72">
        <f>营业收入表!F20</f>
        <v/>
      </c>
      <c r="G16" s="72">
        <f>营业收入表!G20</f>
        <v/>
      </c>
      <c r="H16" s="72">
        <f>营业收入表!H20</f>
        <v/>
      </c>
      <c r="I16" s="72">
        <f>营业收入表!I20</f>
        <v/>
      </c>
      <c r="J16" s="72">
        <f>营业收入表!J20</f>
        <v/>
      </c>
      <c r="K16" s="72">
        <f>营业收入表!K20</f>
        <v/>
      </c>
      <c r="L16" s="72">
        <f>营业收入表!L20</f>
        <v/>
      </c>
      <c r="M16" s="72">
        <f>营业收入表!M20</f>
        <v/>
      </c>
    </row>
    <row r="17">
      <c r="A17" s="1">
        <f>营业收入表!A21</f>
        <v/>
      </c>
      <c r="B17" s="1">
        <f>营业收入表!B21</f>
        <v/>
      </c>
      <c r="C17" s="1">
        <f>营业收入表!C21</f>
        <v/>
      </c>
      <c r="D17" s="72">
        <f>营业收入表!D21</f>
        <v/>
      </c>
      <c r="E17" s="72">
        <f>营业收入表!E21</f>
        <v/>
      </c>
      <c r="F17" s="72">
        <f>营业收入表!F21</f>
        <v/>
      </c>
      <c r="G17" s="72">
        <f>营业收入表!G21</f>
        <v/>
      </c>
      <c r="H17" s="72">
        <f>营业收入表!H21</f>
        <v/>
      </c>
      <c r="I17" s="72">
        <f>营业收入表!I21</f>
        <v/>
      </c>
      <c r="J17" s="72">
        <f>营业收入表!J21</f>
        <v/>
      </c>
      <c r="K17" s="72">
        <f>营业收入表!K21</f>
        <v/>
      </c>
      <c r="L17" s="72">
        <f>营业收入表!L21</f>
        <v/>
      </c>
      <c r="M17" s="72">
        <f>营业收入表!M21</f>
        <v/>
      </c>
    </row>
    <row r="18">
      <c r="A18" s="1">
        <f>营业收入表!A22</f>
        <v/>
      </c>
      <c r="B18" s="1">
        <f>营业收入表!B22</f>
        <v/>
      </c>
      <c r="C18" s="1">
        <f>营业收入表!C22</f>
        <v/>
      </c>
      <c r="D18" s="72">
        <f>营业收入表!D22</f>
        <v/>
      </c>
      <c r="E18" s="72">
        <f>营业收入表!E22</f>
        <v/>
      </c>
      <c r="F18" s="72">
        <f>营业收入表!F22</f>
        <v/>
      </c>
      <c r="G18" s="72">
        <f>营业收入表!G22</f>
        <v/>
      </c>
      <c r="H18" s="72">
        <f>营业收入表!H22</f>
        <v/>
      </c>
      <c r="I18" s="72">
        <f>营业收入表!I22</f>
        <v/>
      </c>
      <c r="J18" s="72">
        <f>营业收入表!J22</f>
        <v/>
      </c>
      <c r="K18" s="72">
        <f>营业收入表!K22</f>
        <v/>
      </c>
      <c r="L18" s="72">
        <f>营业收入表!L22</f>
        <v/>
      </c>
      <c r="M18" s="72">
        <f>营业收入表!M22</f>
        <v/>
      </c>
    </row>
    <row r="19">
      <c r="A19" s="1">
        <f>营业收入表!A23</f>
        <v/>
      </c>
      <c r="B19" s="1">
        <f>营业收入表!B23</f>
        <v/>
      </c>
      <c r="C19" s="1">
        <f>营业收入表!C23</f>
        <v/>
      </c>
      <c r="D19" s="72">
        <f>营业收入表!D23</f>
        <v/>
      </c>
      <c r="E19" s="72">
        <f>营业收入表!E23</f>
        <v/>
      </c>
      <c r="F19" s="72">
        <f>营业收入表!F23</f>
        <v/>
      </c>
      <c r="G19" s="72">
        <f>营业收入表!G23</f>
        <v/>
      </c>
      <c r="H19" s="72">
        <f>营业收入表!H23</f>
        <v/>
      </c>
      <c r="I19" s="72">
        <f>营业收入表!I23</f>
        <v/>
      </c>
      <c r="J19" s="72">
        <f>营业收入表!J23</f>
        <v/>
      </c>
      <c r="K19" s="72">
        <f>营业收入表!K23</f>
        <v/>
      </c>
      <c r="L19" s="72">
        <f>营业收入表!L23</f>
        <v/>
      </c>
      <c r="M19" s="72">
        <f>营业收入表!M23</f>
        <v/>
      </c>
    </row>
    <row r="20">
      <c r="A20" s="1">
        <f>营业收入表!A24</f>
        <v/>
      </c>
      <c r="B20" s="1">
        <f>营业收入表!B24</f>
        <v/>
      </c>
      <c r="C20" s="1">
        <f>营业收入表!C24</f>
        <v/>
      </c>
      <c r="D20" s="72">
        <f>营业收入表!D24</f>
        <v/>
      </c>
      <c r="E20" s="72">
        <f>营业收入表!E24</f>
        <v/>
      </c>
      <c r="F20" s="72">
        <f>营业收入表!F24</f>
        <v/>
      </c>
      <c r="G20" s="72">
        <f>营业收入表!G24</f>
        <v/>
      </c>
      <c r="H20" s="72">
        <f>营业收入表!H24</f>
        <v/>
      </c>
      <c r="I20" s="72">
        <f>营业收入表!I24</f>
        <v/>
      </c>
      <c r="J20" s="72">
        <f>营业收入表!J24</f>
        <v/>
      </c>
      <c r="K20" s="72">
        <f>营业收入表!K24</f>
        <v/>
      </c>
      <c r="L20" s="72">
        <f>营业收入表!L24</f>
        <v/>
      </c>
      <c r="M20" s="72">
        <f>营业收入表!M24</f>
        <v/>
      </c>
    </row>
    <row r="21">
      <c r="A21" s="1">
        <f>营业收入表!A25</f>
        <v/>
      </c>
      <c r="B21" s="1">
        <f>营业收入表!B25</f>
        <v/>
      </c>
      <c r="C21" s="146">
        <f>营业收入表!C25</f>
        <v/>
      </c>
      <c r="D21" s="146">
        <f>营业收入表!D25</f>
        <v/>
      </c>
      <c r="E21" s="146">
        <f>营业收入表!E25</f>
        <v/>
      </c>
      <c r="F21" s="146">
        <f>营业收入表!F25</f>
        <v/>
      </c>
      <c r="G21" s="146">
        <f>营业收入表!G25</f>
        <v/>
      </c>
      <c r="H21" s="146">
        <f>营业收入表!H25</f>
        <v/>
      </c>
      <c r="I21" s="146">
        <f>营业收入表!I25</f>
        <v/>
      </c>
      <c r="J21" s="146">
        <f>营业收入表!J25</f>
        <v/>
      </c>
      <c r="K21" s="146">
        <f>营业收入表!K25</f>
        <v/>
      </c>
      <c r="L21" s="146">
        <f>营业收入表!L25</f>
        <v/>
      </c>
      <c r="M21" s="146">
        <f>营业收入表!M25</f>
        <v/>
      </c>
    </row>
    <row r="22"/>
    <row r="23">
      <c r="A23" s="69" t="inlineStr">
        <is>
          <t>营业收入附表</t>
        </is>
      </c>
      <c r="B23" s="70" t="n"/>
      <c r="C23" s="70" t="n"/>
      <c r="D23" s="70" t="n"/>
      <c r="E23" s="70" t="n"/>
      <c r="F23" s="70" t="n"/>
      <c r="G23" s="70" t="n"/>
      <c r="H23" s="70" t="n"/>
      <c r="I23" s="70" t="n"/>
      <c r="J23" s="70" t="n"/>
      <c r="K23" s="70" t="n"/>
      <c r="L23" s="70" t="n"/>
      <c r="M23" s="70" t="n"/>
      <c r="N23" s="70" t="n"/>
    </row>
    <row r="24">
      <c r="A24" s="1">
        <f>营业收入附表!A25</f>
        <v/>
      </c>
      <c r="B24" s="146">
        <f>营业收入附表!B25</f>
        <v/>
      </c>
      <c r="C24" s="146">
        <f>营业收入附表!C25</f>
        <v/>
      </c>
      <c r="D24" s="146">
        <f>营业收入附表!D25</f>
        <v/>
      </c>
      <c r="E24" s="146">
        <f>营业收入附表!E25</f>
        <v/>
      </c>
      <c r="F24" s="146">
        <f>营业收入附表!F25</f>
        <v/>
      </c>
    </row>
    <row r="25">
      <c r="A25" s="1">
        <f>营业收入附表!A26</f>
        <v/>
      </c>
      <c r="B25" s="146">
        <f>营业收入附表!B26</f>
        <v/>
      </c>
      <c r="C25" s="146">
        <f>营业收入附表!C26</f>
        <v/>
      </c>
      <c r="D25" s="146">
        <f>营业收入附表!D26</f>
        <v/>
      </c>
      <c r="E25" s="146">
        <f>营业收入附表!E26</f>
        <v/>
      </c>
      <c r="F25" s="146">
        <f>营业收入附表!F26</f>
        <v/>
      </c>
    </row>
    <row r="26">
      <c r="A26" s="1">
        <f>营业收入附表!A27</f>
        <v/>
      </c>
      <c r="B26" s="146">
        <f>营业收入附表!B27</f>
        <v/>
      </c>
      <c r="C26" s="146">
        <f>营业收入附表!C27</f>
        <v/>
      </c>
      <c r="D26" s="146">
        <f>营业收入附表!D27</f>
        <v/>
      </c>
      <c r="E26" s="146">
        <f>营业收入附表!E27</f>
        <v/>
      </c>
      <c r="F26" s="146">
        <f>营业收入附表!F27</f>
        <v/>
      </c>
    </row>
    <row r="27"/>
    <row r="28">
      <c r="A28" s="69" t="inlineStr">
        <is>
          <t>营业成本表</t>
        </is>
      </c>
      <c r="B28" s="70" t="n"/>
      <c r="C28" s="70" t="n"/>
      <c r="D28" s="70" t="n"/>
      <c r="E28" s="70" t="n"/>
      <c r="F28" s="70" t="n"/>
      <c r="G28" s="70" t="n"/>
      <c r="H28" s="70" t="n"/>
      <c r="I28" s="70" t="n"/>
      <c r="J28" s="70" t="n"/>
      <c r="K28" s="70" t="n"/>
      <c r="L28" s="70" t="n"/>
      <c r="M28" s="70" t="n"/>
      <c r="N28" s="70" t="n"/>
    </row>
    <row r="29">
      <c r="A29" s="1">
        <f>营业成本表!A19</f>
        <v/>
      </c>
      <c r="B29" s="1">
        <f>营业成本表!B19</f>
        <v/>
      </c>
      <c r="C29" s="1">
        <f>营业成本表!C19</f>
        <v/>
      </c>
      <c r="D29" s="72">
        <f>营业成本表!D19</f>
        <v/>
      </c>
      <c r="E29" s="72">
        <f>营业成本表!E19</f>
        <v/>
      </c>
      <c r="F29" s="72">
        <f>营业成本表!F19</f>
        <v/>
      </c>
      <c r="G29" s="72">
        <f>营业成本表!G19</f>
        <v/>
      </c>
      <c r="H29" s="72">
        <f>营业成本表!H19</f>
        <v/>
      </c>
      <c r="I29" s="72">
        <f>营业成本表!I19</f>
        <v/>
      </c>
      <c r="J29" s="72">
        <f>营业成本表!J19</f>
        <v/>
      </c>
      <c r="K29" s="72">
        <f>营业成本表!K19</f>
        <v/>
      </c>
      <c r="L29" s="72">
        <f>营业成本表!L19</f>
        <v/>
      </c>
      <c r="M29" s="72">
        <f>营业成本表!M19</f>
        <v/>
      </c>
    </row>
    <row r="30">
      <c r="A30" s="1">
        <f>营业成本表!A20</f>
        <v/>
      </c>
      <c r="B30" s="1">
        <f>营业成本表!B20</f>
        <v/>
      </c>
      <c r="C30" s="1">
        <f>营业成本表!C20</f>
        <v/>
      </c>
      <c r="D30" s="72">
        <f>营业成本表!D20</f>
        <v/>
      </c>
      <c r="E30" s="72">
        <f>营业成本表!E20</f>
        <v/>
      </c>
      <c r="F30" s="72">
        <f>营业成本表!F20</f>
        <v/>
      </c>
      <c r="G30" s="72">
        <f>营业成本表!G20</f>
        <v/>
      </c>
      <c r="H30" s="72">
        <f>营业成本表!H20</f>
        <v/>
      </c>
      <c r="I30" s="72">
        <f>营业成本表!I20</f>
        <v/>
      </c>
      <c r="J30" s="72">
        <f>营业成本表!J20</f>
        <v/>
      </c>
      <c r="K30" s="72">
        <f>营业成本表!K20</f>
        <v/>
      </c>
      <c r="L30" s="72">
        <f>营业成本表!L20</f>
        <v/>
      </c>
      <c r="M30" s="72">
        <f>营业成本表!M20</f>
        <v/>
      </c>
    </row>
    <row r="31">
      <c r="A31" s="1">
        <f>营业成本表!A21</f>
        <v/>
      </c>
      <c r="B31" s="1">
        <f>营业成本表!B21</f>
        <v/>
      </c>
      <c r="C31" s="1">
        <f>营业成本表!C21</f>
        <v/>
      </c>
      <c r="D31" s="72">
        <f>营业成本表!D21</f>
        <v/>
      </c>
      <c r="E31" s="72">
        <f>营业成本表!E21</f>
        <v/>
      </c>
      <c r="F31" s="72">
        <f>营业成本表!F21</f>
        <v/>
      </c>
      <c r="G31" s="72">
        <f>营业成本表!G21</f>
        <v/>
      </c>
      <c r="H31" s="72">
        <f>营业成本表!H21</f>
        <v/>
      </c>
      <c r="I31" s="72">
        <f>营业成本表!I21</f>
        <v/>
      </c>
      <c r="J31" s="72">
        <f>营业成本表!J21</f>
        <v/>
      </c>
      <c r="K31" s="72">
        <f>营业成本表!K21</f>
        <v/>
      </c>
      <c r="L31" s="72">
        <f>营业成本表!L21</f>
        <v/>
      </c>
      <c r="M31" s="72">
        <f>营业成本表!M21</f>
        <v/>
      </c>
    </row>
    <row r="32">
      <c r="A32" s="1">
        <f>营业成本表!A22</f>
        <v/>
      </c>
      <c r="B32" s="1">
        <f>营业成本表!B22</f>
        <v/>
      </c>
      <c r="C32" s="1">
        <f>营业成本表!C22</f>
        <v/>
      </c>
      <c r="D32" s="72">
        <f>营业成本表!D22</f>
        <v/>
      </c>
      <c r="E32" s="72">
        <f>营业成本表!E22</f>
        <v/>
      </c>
      <c r="F32" s="72">
        <f>营业成本表!F22</f>
        <v/>
      </c>
      <c r="G32" s="72">
        <f>营业成本表!G22</f>
        <v/>
      </c>
      <c r="H32" s="72">
        <f>营业成本表!H22</f>
        <v/>
      </c>
      <c r="I32" s="72">
        <f>营业成本表!I22</f>
        <v/>
      </c>
      <c r="J32" s="72">
        <f>营业成本表!J22</f>
        <v/>
      </c>
      <c r="K32" s="72">
        <f>营业成本表!K22</f>
        <v/>
      </c>
      <c r="L32" s="72">
        <f>营业成本表!L22</f>
        <v/>
      </c>
      <c r="M32" s="72">
        <f>营业成本表!M22</f>
        <v/>
      </c>
    </row>
    <row r="33">
      <c r="A33" s="1">
        <f>营业成本表!A23</f>
        <v/>
      </c>
      <c r="B33" s="1">
        <f>营业成本表!B23</f>
        <v/>
      </c>
      <c r="C33" s="1">
        <f>营业成本表!C23</f>
        <v/>
      </c>
      <c r="D33" s="72">
        <f>营业成本表!D23</f>
        <v/>
      </c>
      <c r="E33" s="72">
        <f>营业成本表!E23</f>
        <v/>
      </c>
      <c r="F33" s="72">
        <f>营业成本表!F23</f>
        <v/>
      </c>
      <c r="G33" s="72">
        <f>营业成本表!G23</f>
        <v/>
      </c>
      <c r="H33" s="72">
        <f>营业成本表!H23</f>
        <v/>
      </c>
      <c r="I33" s="72">
        <f>营业成本表!I23</f>
        <v/>
      </c>
      <c r="J33" s="72">
        <f>营业成本表!J23</f>
        <v/>
      </c>
      <c r="K33" s="72">
        <f>营业成本表!K23</f>
        <v/>
      </c>
      <c r="L33" s="72">
        <f>营业成本表!L23</f>
        <v/>
      </c>
      <c r="M33" s="72">
        <f>营业成本表!M23</f>
        <v/>
      </c>
    </row>
    <row r="34">
      <c r="A34" s="1">
        <f>营业成本表!A24</f>
        <v/>
      </c>
      <c r="B34" s="1">
        <f>营业成本表!B24</f>
        <v/>
      </c>
      <c r="C34" s="1">
        <f>营业成本表!C24</f>
        <v/>
      </c>
      <c r="D34" s="72">
        <f>营业成本表!D24</f>
        <v/>
      </c>
      <c r="E34" s="72">
        <f>营业成本表!E24</f>
        <v/>
      </c>
      <c r="F34" s="72">
        <f>营业成本表!F24</f>
        <v/>
      </c>
      <c r="G34" s="72">
        <f>营业成本表!G24</f>
        <v/>
      </c>
      <c r="H34" s="72">
        <f>营业成本表!H24</f>
        <v/>
      </c>
      <c r="I34" s="72">
        <f>营业成本表!I24</f>
        <v/>
      </c>
      <c r="J34" s="72">
        <f>营业成本表!J24</f>
        <v/>
      </c>
      <c r="K34" s="72">
        <f>营业成本表!K24</f>
        <v/>
      </c>
      <c r="L34" s="72">
        <f>营业成本表!L24</f>
        <v/>
      </c>
      <c r="M34" s="72">
        <f>营业成本表!M24</f>
        <v/>
      </c>
    </row>
    <row r="35">
      <c r="A35" s="1">
        <f>营业成本表!A25</f>
        <v/>
      </c>
      <c r="B35" s="1">
        <f>营业成本表!B25</f>
        <v/>
      </c>
      <c r="C35" s="72">
        <f>营业成本表!C25</f>
        <v/>
      </c>
      <c r="D35" s="72">
        <f>营业成本表!D25</f>
        <v/>
      </c>
      <c r="E35" s="72">
        <f>营业成本表!E25</f>
        <v/>
      </c>
      <c r="F35" s="72">
        <f>营业成本表!F25</f>
        <v/>
      </c>
      <c r="G35" s="72">
        <f>营业成本表!G25</f>
        <v/>
      </c>
      <c r="H35" s="72">
        <f>营业成本表!H25</f>
        <v/>
      </c>
      <c r="I35" s="72">
        <f>营业成本表!I25</f>
        <v/>
      </c>
      <c r="J35" s="72">
        <f>营业成本表!J25</f>
        <v/>
      </c>
      <c r="K35" s="72">
        <f>营业成本表!K25</f>
        <v/>
      </c>
      <c r="L35" s="72">
        <f>营业成本表!L25</f>
        <v/>
      </c>
      <c r="M35" s="72">
        <f>营业成本表!M25</f>
        <v/>
      </c>
    </row>
    <row r="36">
      <c r="A36" s="1">
        <f>营业成本表!A26</f>
        <v/>
      </c>
      <c r="B36" s="1">
        <f>营业成本表!B26</f>
        <v/>
      </c>
      <c r="C36" s="72">
        <f>营业成本表!C26</f>
        <v/>
      </c>
      <c r="D36" s="72">
        <f>营业成本表!D26</f>
        <v/>
      </c>
      <c r="E36" s="72">
        <f>营业成本表!E26</f>
        <v/>
      </c>
      <c r="F36" s="72">
        <f>营业成本表!F26</f>
        <v/>
      </c>
      <c r="G36" s="72">
        <f>营业成本表!G26</f>
        <v/>
      </c>
      <c r="H36" s="72">
        <f>营业成本表!H26</f>
        <v/>
      </c>
      <c r="I36" s="72">
        <f>营业成本表!I26</f>
        <v/>
      </c>
      <c r="J36" s="72">
        <f>营业成本表!J26</f>
        <v/>
      </c>
      <c r="K36" s="72">
        <f>营业成本表!K26</f>
        <v/>
      </c>
      <c r="L36" s="72">
        <f>营业成本表!L26</f>
        <v/>
      </c>
      <c r="M36" s="72">
        <f>营业成本表!M26</f>
        <v/>
      </c>
    </row>
    <row r="37">
      <c r="A37" s="1">
        <f>营业成本表!A27</f>
        <v/>
      </c>
      <c r="B37" s="1">
        <f>营业成本表!B27</f>
        <v/>
      </c>
      <c r="C37" s="146">
        <f>营业成本表!C27</f>
        <v/>
      </c>
      <c r="D37" s="146">
        <f>营业成本表!D27</f>
        <v/>
      </c>
      <c r="E37" s="146">
        <f>营业成本表!E27</f>
        <v/>
      </c>
      <c r="F37" s="146">
        <f>营业成本表!F27</f>
        <v/>
      </c>
      <c r="G37" s="146">
        <f>营业成本表!G27</f>
        <v/>
      </c>
      <c r="H37" s="146">
        <f>营业成本表!H27</f>
        <v/>
      </c>
      <c r="I37" s="146">
        <f>营业成本表!I27</f>
        <v/>
      </c>
      <c r="J37" s="146">
        <f>营业成本表!J27</f>
        <v/>
      </c>
      <c r="K37" s="146">
        <f>营业成本表!K27</f>
        <v/>
      </c>
      <c r="L37" s="146">
        <f>营业成本表!L27</f>
        <v/>
      </c>
      <c r="M37" s="146">
        <f>营业成本表!M27</f>
        <v/>
      </c>
    </row>
    <row r="38"/>
    <row r="39">
      <c r="A39" s="69" t="inlineStr">
        <is>
          <t>营业成本附表</t>
        </is>
      </c>
      <c r="B39" s="70" t="n"/>
      <c r="C39" s="70" t="n"/>
      <c r="D39" s="70" t="n"/>
      <c r="E39" s="70" t="n"/>
      <c r="F39" s="70" t="n"/>
      <c r="G39" s="70" t="n"/>
      <c r="H39" s="70" t="n"/>
      <c r="I39" s="70" t="n"/>
      <c r="J39" s="70" t="n"/>
      <c r="K39" s="70" t="n"/>
      <c r="L39" s="70" t="n"/>
      <c r="M39" s="70" t="n"/>
      <c r="N39" s="70" t="n"/>
    </row>
    <row r="40">
      <c r="A40" s="1">
        <f>营业成本附表!A33</f>
        <v/>
      </c>
      <c r="B40" s="146">
        <f>营业成本附表!B33</f>
        <v/>
      </c>
      <c r="C40" s="146">
        <f>营业成本附表!C33</f>
        <v/>
      </c>
      <c r="D40" s="146">
        <f>营业成本附表!D33</f>
        <v/>
      </c>
      <c r="E40" s="146">
        <f>营业成本附表!E33</f>
        <v/>
      </c>
      <c r="F40" s="146">
        <f>营业成本附表!F33</f>
        <v/>
      </c>
    </row>
    <row r="41">
      <c r="A41" s="1">
        <f>营业成本附表!A34</f>
        <v/>
      </c>
      <c r="B41" s="146">
        <f>营业成本附表!B34</f>
        <v/>
      </c>
      <c r="C41" s="146">
        <f>营业成本附表!C34</f>
        <v/>
      </c>
      <c r="D41" s="146">
        <f>营业成本附表!D34</f>
        <v/>
      </c>
      <c r="E41" s="146">
        <f>营业成本附表!E34</f>
        <v/>
      </c>
      <c r="F41" s="146">
        <f>营业成本附表!F34</f>
        <v/>
      </c>
    </row>
    <row r="42">
      <c r="A42" s="1">
        <f>营业成本附表!A35</f>
        <v/>
      </c>
      <c r="B42" s="146">
        <f>营业成本附表!B35</f>
        <v/>
      </c>
      <c r="C42" s="146">
        <f>营业成本附表!C35</f>
        <v/>
      </c>
      <c r="D42" s="146">
        <f>营业成本附表!D35</f>
        <v/>
      </c>
      <c r="E42" s="146">
        <f>营业成本附表!E35</f>
        <v/>
      </c>
      <c r="F42" s="146">
        <f>营业成本附表!F35</f>
        <v/>
      </c>
    </row>
    <row r="43">
      <c r="A43" s="1">
        <f>营业成本附表!A36</f>
        <v/>
      </c>
      <c r="B43" s="1">
        <f>营业成本附表!B36</f>
        <v/>
      </c>
      <c r="C43" s="146">
        <f>营业成本附表!C36</f>
        <v/>
      </c>
      <c r="D43" s="146">
        <f>营业成本附表!D36</f>
        <v/>
      </c>
      <c r="E43" s="146">
        <f>营业成本附表!E36</f>
        <v/>
      </c>
      <c r="F43" s="146">
        <f>营业成本附表!F36</f>
        <v/>
      </c>
      <c r="G43" s="146">
        <f>营业成本附表!G36</f>
        <v/>
      </c>
      <c r="H43" s="146">
        <f>营业成本附表!H36</f>
        <v/>
      </c>
      <c r="I43" s="146">
        <f>营业成本附表!I36</f>
        <v/>
      </c>
      <c r="J43" s="146">
        <f>营业成本附表!J36</f>
        <v/>
      </c>
      <c r="K43" s="146">
        <f>营业成本附表!K36</f>
        <v/>
      </c>
      <c r="L43" s="146">
        <f>营业成本附表!L36</f>
        <v/>
      </c>
      <c r="M43" s="146">
        <f>营业成本附表!M36</f>
        <v/>
      </c>
    </row>
    <row r="44">
      <c r="A44" s="1">
        <f>营业成本附表!A37</f>
        <v/>
      </c>
      <c r="B44" s="1">
        <f>营业成本附表!B37</f>
        <v/>
      </c>
      <c r="C44" s="146">
        <f>营业成本附表!C37</f>
        <v/>
      </c>
      <c r="D44" s="146">
        <f>营业成本附表!D37</f>
        <v/>
      </c>
      <c r="E44" s="146">
        <f>营业成本附表!E37</f>
        <v/>
      </c>
      <c r="F44" s="146">
        <f>营业成本附表!F37</f>
        <v/>
      </c>
      <c r="G44" s="146">
        <f>营业成本附表!G37</f>
        <v/>
      </c>
      <c r="H44" s="146">
        <f>营业成本附表!H37</f>
        <v/>
      </c>
      <c r="I44" s="146">
        <f>营业成本附表!I37</f>
        <v/>
      </c>
      <c r="J44" s="146">
        <f>营业成本附表!J37</f>
        <v/>
      </c>
      <c r="K44" s="146">
        <f>营业成本附表!K37</f>
        <v/>
      </c>
      <c r="L44" s="146">
        <f>营业成本附表!L37</f>
        <v/>
      </c>
      <c r="M44" s="146">
        <f>营业成本附表!M37</f>
        <v/>
      </c>
    </row>
    <row r="45">
      <c r="A45" s="1">
        <f>营业成本附表!A38</f>
        <v/>
      </c>
      <c r="B45" s="1">
        <f>营业成本附表!B38</f>
        <v/>
      </c>
      <c r="C45" s="146">
        <f>营业成本附表!C38</f>
        <v/>
      </c>
      <c r="D45" s="146">
        <f>营业成本附表!D38</f>
        <v/>
      </c>
      <c r="E45" s="146">
        <f>营业成本附表!E38</f>
        <v/>
      </c>
      <c r="F45" s="146">
        <f>营业成本附表!F38</f>
        <v/>
      </c>
      <c r="G45" s="146">
        <f>营业成本附表!G38</f>
        <v/>
      </c>
      <c r="H45" s="146">
        <f>营业成本附表!H38</f>
        <v/>
      </c>
      <c r="I45" s="146">
        <f>营业成本附表!I38</f>
        <v/>
      </c>
      <c r="J45" s="146">
        <f>营业成本附表!J38</f>
        <v/>
      </c>
      <c r="K45" s="146">
        <f>营业成本附表!K38</f>
        <v/>
      </c>
      <c r="L45" s="146">
        <f>营业成本附表!L38</f>
        <v/>
      </c>
      <c r="M45" s="146">
        <f>营业成本附表!M38</f>
        <v/>
      </c>
    </row>
    <row r="46">
      <c r="A46" s="1">
        <f>营业成本附表!A39</f>
        <v/>
      </c>
      <c r="B46" s="1">
        <f>营业成本附表!B39</f>
        <v/>
      </c>
      <c r="C46" s="146">
        <f>营业成本附表!C39</f>
        <v/>
      </c>
      <c r="D46" s="146">
        <f>营业成本附表!D39</f>
        <v/>
      </c>
      <c r="E46" s="146">
        <f>营业成本附表!E39</f>
        <v/>
      </c>
      <c r="F46" s="146">
        <f>营业成本附表!F39</f>
        <v/>
      </c>
      <c r="G46" s="146">
        <f>营业成本附表!G39</f>
        <v/>
      </c>
      <c r="H46" s="146">
        <f>营业成本附表!H39</f>
        <v/>
      </c>
      <c r="I46" s="146">
        <f>营业成本附表!I39</f>
        <v/>
      </c>
      <c r="J46" s="146">
        <f>营业成本附表!J39</f>
        <v/>
      </c>
      <c r="K46" s="146">
        <f>营业成本附表!K39</f>
        <v/>
      </c>
      <c r="L46" s="146">
        <f>营业成本附表!L39</f>
        <v/>
      </c>
      <c r="M46" s="146">
        <f>营业成本附表!M39</f>
        <v/>
      </c>
    </row>
    <row r="47"/>
    <row r="48">
      <c r="A48" s="69" t="inlineStr">
        <is>
          <t>制造费用表</t>
        </is>
      </c>
      <c r="B48" s="70" t="n"/>
      <c r="C48" s="70" t="n"/>
      <c r="D48" s="70" t="n"/>
      <c r="E48" s="70" t="n"/>
      <c r="F48" s="70" t="n"/>
      <c r="G48" s="70" t="n"/>
      <c r="H48" s="70" t="n"/>
      <c r="I48" s="70" t="n"/>
      <c r="J48" s="70" t="n"/>
      <c r="K48" s="70" t="n"/>
      <c r="L48" s="70" t="n"/>
      <c r="M48" s="70" t="n"/>
      <c r="N48" s="70" t="n"/>
    </row>
    <row r="49">
      <c r="A49" s="1">
        <f>制造费用表!A64</f>
        <v/>
      </c>
      <c r="B49" s="1">
        <f>制造费用表!B64</f>
        <v/>
      </c>
      <c r="C49" s="1">
        <f>制造费用表!C64</f>
        <v/>
      </c>
      <c r="D49" s="72">
        <f>制造费用表!D64</f>
        <v/>
      </c>
      <c r="E49" s="72">
        <f>制造费用表!E64</f>
        <v/>
      </c>
      <c r="F49" s="72">
        <f>制造费用表!F64</f>
        <v/>
      </c>
      <c r="G49" s="72">
        <f>制造费用表!G64</f>
        <v/>
      </c>
      <c r="H49" s="72">
        <f>制造费用表!H64</f>
        <v/>
      </c>
      <c r="I49" s="72">
        <f>制造费用表!I64</f>
        <v/>
      </c>
      <c r="J49" s="72">
        <f>制造费用表!J64</f>
        <v/>
      </c>
      <c r="K49" s="72">
        <f>制造费用表!K64</f>
        <v/>
      </c>
      <c r="L49" s="72">
        <f>制造费用表!L64</f>
        <v/>
      </c>
      <c r="M49" s="72">
        <f>制造费用表!M64</f>
        <v/>
      </c>
    </row>
    <row r="50">
      <c r="A50" s="1">
        <f>制造费用表!A65</f>
        <v/>
      </c>
      <c r="B50" s="1">
        <f>制造费用表!B65</f>
        <v/>
      </c>
      <c r="C50" s="72">
        <f>制造费用表!C65</f>
        <v/>
      </c>
      <c r="D50" s="72">
        <f>制造费用表!D65</f>
        <v/>
      </c>
      <c r="E50" s="72">
        <f>制造费用表!E65</f>
        <v/>
      </c>
      <c r="F50" s="72">
        <f>制造费用表!F65</f>
        <v/>
      </c>
      <c r="G50" s="72">
        <f>制造费用表!G65</f>
        <v/>
      </c>
      <c r="H50" s="72">
        <f>制造费用表!H65</f>
        <v/>
      </c>
      <c r="I50" s="72">
        <f>制造费用表!I65</f>
        <v/>
      </c>
      <c r="J50" s="72">
        <f>制造费用表!J65</f>
        <v/>
      </c>
      <c r="K50" s="72">
        <f>制造费用表!K65</f>
        <v/>
      </c>
      <c r="L50" s="72">
        <f>制造费用表!L65</f>
        <v/>
      </c>
      <c r="M50" s="72">
        <f>制造费用表!M65</f>
        <v/>
      </c>
    </row>
    <row r="51">
      <c r="A51" s="1">
        <f>制造费用表!A66</f>
        <v/>
      </c>
      <c r="B51" s="1">
        <f>制造费用表!B66</f>
        <v/>
      </c>
      <c r="C51" s="72">
        <f>制造费用表!C66</f>
        <v/>
      </c>
      <c r="D51" s="72">
        <f>制造费用表!D66</f>
        <v/>
      </c>
      <c r="E51" s="72">
        <f>制造费用表!E66</f>
        <v/>
      </c>
      <c r="F51" s="72">
        <f>制造费用表!F66</f>
        <v/>
      </c>
      <c r="G51" s="72">
        <f>制造费用表!G66</f>
        <v/>
      </c>
      <c r="H51" s="72">
        <f>制造费用表!H66</f>
        <v/>
      </c>
      <c r="I51" s="72">
        <f>制造费用表!I66</f>
        <v/>
      </c>
      <c r="J51" s="72">
        <f>制造费用表!J66</f>
        <v/>
      </c>
      <c r="K51" s="72">
        <f>制造费用表!K66</f>
        <v/>
      </c>
      <c r="L51" s="72">
        <f>制造费用表!L66</f>
        <v/>
      </c>
      <c r="M51" s="72">
        <f>制造费用表!M66</f>
        <v/>
      </c>
    </row>
    <row r="52">
      <c r="A52" s="1">
        <f>制造费用表!A67</f>
        <v/>
      </c>
      <c r="B52" s="1">
        <f>制造费用表!B67</f>
        <v/>
      </c>
      <c r="C52" s="146">
        <f>制造费用表!C67</f>
        <v/>
      </c>
      <c r="D52" s="146">
        <f>制造费用表!D67</f>
        <v/>
      </c>
      <c r="E52" s="146">
        <f>制造费用表!E67</f>
        <v/>
      </c>
      <c r="F52" s="146">
        <f>制造费用表!F67</f>
        <v/>
      </c>
      <c r="G52" s="146">
        <f>制造费用表!G67</f>
        <v/>
      </c>
      <c r="H52" s="146">
        <f>制造费用表!H67</f>
        <v/>
      </c>
      <c r="I52" s="146">
        <f>制造费用表!I67</f>
        <v/>
      </c>
      <c r="J52" s="146">
        <f>制造费用表!J67</f>
        <v/>
      </c>
      <c r="K52" s="146">
        <f>制造费用表!K67</f>
        <v/>
      </c>
      <c r="L52" s="146">
        <f>制造费用表!L67</f>
        <v/>
      </c>
      <c r="M52" s="146">
        <f>制造费用表!M67</f>
        <v/>
      </c>
    </row>
    <row r="53"/>
    <row r="54">
      <c r="A54" s="69" t="inlineStr">
        <is>
          <t>税金及附加表</t>
        </is>
      </c>
      <c r="B54" s="70" t="n"/>
      <c r="C54" s="70" t="n"/>
      <c r="D54" s="70" t="n"/>
      <c r="E54" s="70" t="n"/>
      <c r="F54" s="70" t="n"/>
      <c r="G54" s="70" t="n"/>
      <c r="H54" s="70" t="n"/>
      <c r="I54" s="70" t="n"/>
      <c r="J54" s="70" t="n"/>
      <c r="K54" s="70" t="n"/>
      <c r="L54" s="70" t="n"/>
      <c r="M54" s="70" t="n"/>
      <c r="N54" s="70" t="n"/>
    </row>
    <row r="55">
      <c r="A55" s="1">
        <f>税金及附加表!A29</f>
        <v/>
      </c>
      <c r="B55" s="146">
        <f>税金及附加表!B29</f>
        <v/>
      </c>
      <c r="C55" s="146">
        <f>税金及附加表!C29</f>
        <v/>
      </c>
      <c r="D55" s="146">
        <f>税金及附加表!D29</f>
        <v/>
      </c>
      <c r="E55" s="146">
        <f>税金及附加表!E29</f>
        <v/>
      </c>
      <c r="F55" s="146">
        <f>税金及附加表!F29</f>
        <v/>
      </c>
    </row>
    <row r="56">
      <c r="A56" s="1">
        <f>税金及附加表!A30</f>
        <v/>
      </c>
      <c r="B56" s="1">
        <f>税金及附加表!B30</f>
        <v/>
      </c>
      <c r="C56" s="72">
        <f>税金及附加表!C30</f>
        <v/>
      </c>
      <c r="D56" s="72">
        <f>税金及附加表!D30</f>
        <v/>
      </c>
      <c r="E56" s="72">
        <f>税金及附加表!E30</f>
        <v/>
      </c>
      <c r="F56" s="72">
        <f>税金及附加表!F30</f>
        <v/>
      </c>
      <c r="G56" s="72">
        <f>税金及附加表!G30</f>
        <v/>
      </c>
      <c r="H56" s="72">
        <f>税金及附加表!H30</f>
        <v/>
      </c>
      <c r="I56" s="72">
        <f>税金及附加表!I30</f>
        <v/>
      </c>
      <c r="J56" s="72">
        <f>税金及附加表!J30</f>
        <v/>
      </c>
      <c r="K56" s="72">
        <f>税金及附加表!K30</f>
        <v/>
      </c>
      <c r="L56" s="72">
        <f>税金及附加表!L30</f>
        <v/>
      </c>
      <c r="M56" s="72">
        <f>税金及附加表!M30</f>
        <v/>
      </c>
    </row>
    <row r="57">
      <c r="A57" s="1">
        <f>税金及附加表!A31</f>
        <v/>
      </c>
      <c r="B57" s="1">
        <f>税金及附加表!B31</f>
        <v/>
      </c>
      <c r="C57" s="72">
        <f>税金及附加表!C31</f>
        <v/>
      </c>
      <c r="D57" s="72">
        <f>税金及附加表!D31</f>
        <v/>
      </c>
      <c r="E57" s="72">
        <f>税金及附加表!E31</f>
        <v/>
      </c>
      <c r="F57" s="72">
        <f>税金及附加表!F31</f>
        <v/>
      </c>
      <c r="G57" s="72">
        <f>税金及附加表!G31</f>
        <v/>
      </c>
      <c r="H57" s="72">
        <f>税金及附加表!H31</f>
        <v/>
      </c>
      <c r="I57" s="72">
        <f>税金及附加表!I31</f>
        <v/>
      </c>
      <c r="J57" s="72">
        <f>税金及附加表!J31</f>
        <v/>
      </c>
      <c r="K57" s="72">
        <f>税金及附加表!K31</f>
        <v/>
      </c>
      <c r="L57" s="72">
        <f>税金及附加表!L31</f>
        <v/>
      </c>
      <c r="M57" s="72">
        <f>税金及附加表!M31</f>
        <v/>
      </c>
    </row>
    <row r="58"/>
    <row r="59">
      <c r="A59" s="69" t="inlineStr">
        <is>
          <t>增值税表</t>
        </is>
      </c>
      <c r="B59" s="70" t="n"/>
      <c r="C59" s="70" t="n"/>
      <c r="D59" s="70" t="n"/>
      <c r="E59" s="70" t="n"/>
      <c r="F59" s="70" t="n"/>
      <c r="G59" s="70" t="n"/>
      <c r="H59" s="70" t="n"/>
      <c r="I59" s="70" t="n"/>
      <c r="J59" s="70" t="n"/>
      <c r="K59" s="70" t="n"/>
      <c r="L59" s="70" t="n"/>
      <c r="M59" s="70" t="n"/>
      <c r="N59" s="70" t="n"/>
    </row>
    <row r="60">
      <c r="A60" s="1">
        <f>增值税表!A164</f>
        <v/>
      </c>
      <c r="B60" s="1">
        <f>增值税表!B164</f>
        <v/>
      </c>
      <c r="C60" s="146">
        <f>增值税表!C164</f>
        <v/>
      </c>
      <c r="D60" s="146">
        <f>增值税表!D164</f>
        <v/>
      </c>
      <c r="E60" s="146">
        <f>增值税表!E164</f>
        <v/>
      </c>
      <c r="F60" s="146">
        <f>增值税表!F164</f>
        <v/>
      </c>
      <c r="G60" s="146">
        <f>增值税表!G164</f>
        <v/>
      </c>
      <c r="H60" s="146">
        <f>增值税表!H164</f>
        <v/>
      </c>
      <c r="I60" s="146">
        <f>增值税表!I164</f>
        <v/>
      </c>
      <c r="J60" s="146">
        <f>增值税表!J164</f>
        <v/>
      </c>
      <c r="K60" s="146">
        <f>增值税表!K164</f>
        <v/>
      </c>
      <c r="L60" s="146">
        <f>增值税表!L164</f>
        <v/>
      </c>
      <c r="M60" s="146">
        <f>增值税表!M164</f>
        <v/>
      </c>
    </row>
    <row r="61">
      <c r="A61" s="1">
        <f>增值税表!A165</f>
        <v/>
      </c>
      <c r="B61" s="1">
        <f>增值税表!B165</f>
        <v/>
      </c>
      <c r="C61" s="146">
        <f>增值税表!C165</f>
        <v/>
      </c>
      <c r="D61" s="146">
        <f>增值税表!D165</f>
        <v/>
      </c>
      <c r="E61" s="146">
        <f>增值税表!E165</f>
        <v/>
      </c>
      <c r="F61" s="146">
        <f>增值税表!F165</f>
        <v/>
      </c>
      <c r="G61" s="146">
        <f>增值税表!G165</f>
        <v/>
      </c>
      <c r="H61" s="146">
        <f>增值税表!H165</f>
        <v/>
      </c>
      <c r="I61" s="146">
        <f>增值税表!I165</f>
        <v/>
      </c>
      <c r="J61" s="146">
        <f>增值税表!J165</f>
        <v/>
      </c>
      <c r="K61" s="146">
        <f>增值税表!K165</f>
        <v/>
      </c>
      <c r="L61" s="146">
        <f>增值税表!L165</f>
        <v/>
      </c>
      <c r="M61" s="146">
        <f>增值税表!M165</f>
        <v/>
      </c>
    </row>
    <row r="62">
      <c r="A62" s="1">
        <f>增值税表!A166</f>
        <v/>
      </c>
      <c r="B62" s="1">
        <f>增值税表!B166</f>
        <v/>
      </c>
      <c r="C62" s="146">
        <f>增值税表!C166</f>
        <v/>
      </c>
      <c r="D62" s="146">
        <f>增值税表!D166</f>
        <v/>
      </c>
      <c r="E62" s="146">
        <f>增值税表!E166</f>
        <v/>
      </c>
      <c r="F62" s="146">
        <f>增值税表!F166</f>
        <v/>
      </c>
      <c r="G62" s="146">
        <f>增值税表!G166</f>
        <v/>
      </c>
      <c r="H62" s="146">
        <f>增值税表!H166</f>
        <v/>
      </c>
      <c r="I62" s="146">
        <f>增值税表!I166</f>
        <v/>
      </c>
      <c r="J62" s="146">
        <f>增值税表!J166</f>
        <v/>
      </c>
      <c r="K62" s="146">
        <f>增值税表!K166</f>
        <v/>
      </c>
      <c r="L62" s="146">
        <f>增值税表!L166</f>
        <v/>
      </c>
      <c r="M62" s="146">
        <f>增值税表!M166</f>
        <v/>
      </c>
    </row>
    <row r="63">
      <c r="A63" s="1">
        <f>增值税表!A167</f>
        <v/>
      </c>
      <c r="B63" s="1">
        <f>增值税表!B167</f>
        <v/>
      </c>
      <c r="C63" s="146">
        <f>增值税表!C167</f>
        <v/>
      </c>
      <c r="D63" s="146">
        <f>增值税表!D167</f>
        <v/>
      </c>
      <c r="E63" s="146">
        <f>增值税表!E167</f>
        <v/>
      </c>
      <c r="F63" s="146">
        <f>增值税表!F167</f>
        <v/>
      </c>
      <c r="G63" s="146">
        <f>增值税表!G167</f>
        <v/>
      </c>
      <c r="H63" s="146">
        <f>增值税表!H167</f>
        <v/>
      </c>
      <c r="I63" s="146">
        <f>增值税表!I167</f>
        <v/>
      </c>
      <c r="J63" s="146">
        <f>增值税表!J167</f>
        <v/>
      </c>
      <c r="K63" s="146">
        <f>增值税表!K167</f>
        <v/>
      </c>
      <c r="L63" s="146">
        <f>增值税表!L167</f>
        <v/>
      </c>
      <c r="M63" s="146">
        <f>增值税表!M167</f>
        <v/>
      </c>
    </row>
    <row r="64"/>
    <row r="65">
      <c r="A65" s="69" t="inlineStr">
        <is>
          <t>销售费用表</t>
        </is>
      </c>
      <c r="B65" s="70" t="n"/>
      <c r="C65" s="70" t="n"/>
      <c r="D65" s="70" t="n"/>
      <c r="E65" s="70" t="n"/>
      <c r="F65" s="70" t="n"/>
      <c r="G65" s="70" t="n"/>
      <c r="H65" s="70" t="n"/>
      <c r="I65" s="70" t="n"/>
      <c r="J65" s="70" t="n"/>
      <c r="K65" s="70" t="n"/>
      <c r="L65" s="70" t="n"/>
      <c r="M65" s="70" t="n"/>
      <c r="N65" s="70" t="n"/>
    </row>
    <row r="66">
      <c r="A66" s="1">
        <f>销售费用表!A64</f>
        <v/>
      </c>
      <c r="B66" s="146">
        <f>销售费用表!B64</f>
        <v/>
      </c>
      <c r="C66" s="146">
        <f>销售费用表!C64</f>
        <v/>
      </c>
      <c r="D66" s="146">
        <f>销售费用表!D64</f>
        <v/>
      </c>
      <c r="E66" s="146">
        <f>销售费用表!E64</f>
        <v/>
      </c>
      <c r="F66" s="146">
        <f>销售费用表!F64</f>
        <v/>
      </c>
    </row>
    <row r="67">
      <c r="A67" s="1">
        <f>销售费用表!A65</f>
        <v/>
      </c>
      <c r="B67" s="1">
        <f>销售费用表!B65</f>
        <v/>
      </c>
      <c r="C67" s="72">
        <f>销售费用表!C65</f>
        <v/>
      </c>
      <c r="D67" s="72">
        <f>销售费用表!D65</f>
        <v/>
      </c>
      <c r="E67" s="72">
        <f>销售费用表!E65</f>
        <v/>
      </c>
      <c r="F67" s="72">
        <f>销售费用表!F65</f>
        <v/>
      </c>
      <c r="G67" s="72">
        <f>销售费用表!G65</f>
        <v/>
      </c>
      <c r="H67" s="72">
        <f>销售费用表!H65</f>
        <v/>
      </c>
      <c r="I67" s="72">
        <f>销售费用表!I65</f>
        <v/>
      </c>
      <c r="J67" s="72">
        <f>销售费用表!J65</f>
        <v/>
      </c>
      <c r="K67" s="72">
        <f>销售费用表!K65</f>
        <v/>
      </c>
      <c r="L67" s="72">
        <f>销售费用表!L65</f>
        <v/>
      </c>
      <c r="M67" s="72">
        <f>销售费用表!M65</f>
        <v/>
      </c>
    </row>
    <row r="68">
      <c r="A68" s="1">
        <f>销售费用表!A66</f>
        <v/>
      </c>
      <c r="B68" s="1">
        <f>销售费用表!B66</f>
        <v/>
      </c>
      <c r="C68" s="146">
        <f>销售费用表!C66</f>
        <v/>
      </c>
      <c r="D68" s="146">
        <f>销售费用表!D66</f>
        <v/>
      </c>
      <c r="E68" s="146">
        <f>销售费用表!E66</f>
        <v/>
      </c>
      <c r="F68" s="146">
        <f>销售费用表!F66</f>
        <v/>
      </c>
      <c r="G68" s="146">
        <f>销售费用表!G66</f>
        <v/>
      </c>
      <c r="H68" s="146">
        <f>销售费用表!H66</f>
        <v/>
      </c>
      <c r="I68" s="146">
        <f>销售费用表!I66</f>
        <v/>
      </c>
      <c r="J68" s="146">
        <f>销售费用表!J66</f>
        <v/>
      </c>
      <c r="K68" s="146">
        <f>销售费用表!K66</f>
        <v/>
      </c>
      <c r="L68" s="146">
        <f>销售费用表!L66</f>
        <v/>
      </c>
      <c r="M68" s="146">
        <f>销售费用表!M66</f>
        <v/>
      </c>
    </row>
    <row r="69"/>
    <row r="70">
      <c r="A70" s="69" t="inlineStr">
        <is>
          <t>管理费用表</t>
        </is>
      </c>
      <c r="B70" s="70" t="n"/>
      <c r="C70" s="70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70" t="n"/>
      <c r="N70" s="70" t="n"/>
    </row>
    <row r="71">
      <c r="A71" s="1">
        <f>管理费用表!A64</f>
        <v/>
      </c>
      <c r="B71" s="146">
        <f>管理费用表!B64</f>
        <v/>
      </c>
      <c r="C71" s="146">
        <f>管理费用表!C64</f>
        <v/>
      </c>
      <c r="D71" s="146">
        <f>管理费用表!D64</f>
        <v/>
      </c>
      <c r="E71" s="146">
        <f>管理费用表!E64</f>
        <v/>
      </c>
      <c r="F71" s="146">
        <f>管理费用表!F64</f>
        <v/>
      </c>
    </row>
    <row r="72">
      <c r="A72" s="1">
        <f>管理费用表!A65</f>
        <v/>
      </c>
      <c r="B72" s="1">
        <f>管理费用表!B65</f>
        <v/>
      </c>
      <c r="C72" s="72">
        <f>管理费用表!C65</f>
        <v/>
      </c>
      <c r="D72" s="72">
        <f>管理费用表!D65</f>
        <v/>
      </c>
      <c r="E72" s="72">
        <f>管理费用表!E65</f>
        <v/>
      </c>
      <c r="F72" s="72">
        <f>管理费用表!F65</f>
        <v/>
      </c>
      <c r="G72" s="72">
        <f>管理费用表!G65</f>
        <v/>
      </c>
      <c r="H72" s="72">
        <f>管理费用表!H65</f>
        <v/>
      </c>
      <c r="I72" s="72">
        <f>管理费用表!I65</f>
        <v/>
      </c>
      <c r="J72" s="72">
        <f>管理费用表!J65</f>
        <v/>
      </c>
      <c r="K72" s="72">
        <f>管理费用表!K65</f>
        <v/>
      </c>
      <c r="L72" s="72">
        <f>管理费用表!L65</f>
        <v/>
      </c>
      <c r="M72" s="72">
        <f>管理费用表!M65</f>
        <v/>
      </c>
    </row>
    <row r="73">
      <c r="A73" s="1">
        <f>管理费用表!A66</f>
        <v/>
      </c>
      <c r="B73" s="1">
        <f>管理费用表!B66</f>
        <v/>
      </c>
      <c r="C73" s="146">
        <f>管理费用表!C66</f>
        <v/>
      </c>
      <c r="D73" s="146">
        <f>管理费用表!D66</f>
        <v/>
      </c>
      <c r="E73" s="146">
        <f>管理费用表!E66</f>
        <v/>
      </c>
      <c r="F73" s="146">
        <f>管理费用表!F66</f>
        <v/>
      </c>
      <c r="G73" s="146">
        <f>管理费用表!G66</f>
        <v/>
      </c>
      <c r="H73" s="146">
        <f>管理费用表!H66</f>
        <v/>
      </c>
      <c r="I73" s="146">
        <f>管理费用表!I66</f>
        <v/>
      </c>
      <c r="J73" s="146">
        <f>管理费用表!J66</f>
        <v/>
      </c>
      <c r="K73" s="146">
        <f>管理费用表!K66</f>
        <v/>
      </c>
      <c r="L73" s="146">
        <f>管理费用表!L66</f>
        <v/>
      </c>
      <c r="M73" s="146">
        <f>管理费用表!M66</f>
        <v/>
      </c>
    </row>
    <row r="74"/>
    <row r="75">
      <c r="A75" s="69" t="inlineStr">
        <is>
          <t>研发费用表</t>
        </is>
      </c>
      <c r="B75" s="70" t="n"/>
      <c r="C75" s="70" t="n"/>
      <c r="D75" s="70" t="n"/>
      <c r="E75" s="70" t="n"/>
      <c r="F75" s="70" t="n"/>
      <c r="G75" s="70" t="n"/>
      <c r="H75" s="70" t="n"/>
      <c r="I75" s="70" t="n"/>
      <c r="J75" s="70" t="n"/>
      <c r="K75" s="70" t="n"/>
      <c r="L75" s="70" t="n"/>
      <c r="M75" s="70" t="n"/>
      <c r="N75" s="70" t="n"/>
    </row>
    <row r="76">
      <c r="A76" s="1">
        <f>研发费用表!A65</f>
        <v/>
      </c>
      <c r="B76" s="146">
        <f>研发费用表!B65</f>
        <v/>
      </c>
      <c r="C76" s="146">
        <f>研发费用表!C65</f>
        <v/>
      </c>
      <c r="D76" s="146">
        <f>研发费用表!D65</f>
        <v/>
      </c>
      <c r="E76" s="146">
        <f>研发费用表!E65</f>
        <v/>
      </c>
      <c r="F76" s="146">
        <f>研发费用表!F65</f>
        <v/>
      </c>
    </row>
    <row r="77">
      <c r="A77" s="1">
        <f>研发费用表!A66</f>
        <v/>
      </c>
      <c r="B77" s="1">
        <f>研发费用表!B66</f>
        <v/>
      </c>
      <c r="C77" s="72">
        <f>研发费用表!C66</f>
        <v/>
      </c>
      <c r="D77" s="72">
        <f>研发费用表!D66</f>
        <v/>
      </c>
      <c r="E77" s="72">
        <f>研发费用表!E66</f>
        <v/>
      </c>
      <c r="F77" s="72">
        <f>研发费用表!F66</f>
        <v/>
      </c>
      <c r="G77" s="72">
        <f>研发费用表!G66</f>
        <v/>
      </c>
      <c r="H77" s="72">
        <f>研发费用表!H66</f>
        <v/>
      </c>
      <c r="I77" s="72">
        <f>研发费用表!I66</f>
        <v/>
      </c>
      <c r="J77" s="72">
        <f>研发费用表!J66</f>
        <v/>
      </c>
      <c r="K77" s="72">
        <f>研发费用表!K66</f>
        <v/>
      </c>
      <c r="L77" s="72">
        <f>研发费用表!L66</f>
        <v/>
      </c>
      <c r="M77" s="72">
        <f>研发费用表!M66</f>
        <v/>
      </c>
    </row>
    <row r="78">
      <c r="A78" s="1">
        <f>研发费用表!A67</f>
        <v/>
      </c>
      <c r="B78" s="1">
        <f>研发费用表!B67</f>
        <v/>
      </c>
      <c r="C78" s="146">
        <f>研发费用表!C67</f>
        <v/>
      </c>
      <c r="D78" s="146">
        <f>研发费用表!D67</f>
        <v/>
      </c>
      <c r="E78" s="146">
        <f>研发费用表!E67</f>
        <v/>
      </c>
      <c r="F78" s="146">
        <f>研发费用表!F67</f>
        <v/>
      </c>
      <c r="G78" s="146">
        <f>研发费用表!G67</f>
        <v/>
      </c>
      <c r="H78" s="146">
        <f>研发费用表!H67</f>
        <v/>
      </c>
      <c r="I78" s="146">
        <f>研发费用表!I67</f>
        <v/>
      </c>
      <c r="J78" s="146">
        <f>研发费用表!J67</f>
        <v/>
      </c>
      <c r="K78" s="146">
        <f>研发费用表!K67</f>
        <v/>
      </c>
      <c r="L78" s="146">
        <f>研发费用表!L67</f>
        <v/>
      </c>
      <c r="M78" s="146">
        <f>研发费用表!M67</f>
        <v/>
      </c>
    </row>
    <row r="79"/>
    <row r="80">
      <c r="A80" s="69" t="inlineStr">
        <is>
          <t>财务费用表</t>
        </is>
      </c>
      <c r="B80" s="70" t="n"/>
      <c r="C80" s="70" t="n"/>
      <c r="D80" s="70" t="n"/>
      <c r="E80" s="70" t="n"/>
      <c r="F80" s="70" t="n"/>
      <c r="G80" s="70" t="n"/>
      <c r="H80" s="70" t="n"/>
      <c r="I80" s="70" t="n"/>
      <c r="J80" s="70" t="n"/>
      <c r="K80" s="70" t="n"/>
      <c r="L80" s="70" t="n"/>
      <c r="M80" s="70" t="n"/>
      <c r="N80" s="70" t="n"/>
    </row>
    <row r="81">
      <c r="A81" s="1">
        <f>财务费用表!A17</f>
        <v/>
      </c>
      <c r="B81" s="146">
        <f>财务费用表!B17</f>
        <v/>
      </c>
      <c r="C81" s="146">
        <f>财务费用表!C17</f>
        <v/>
      </c>
      <c r="D81" s="146">
        <f>财务费用表!D17</f>
        <v/>
      </c>
      <c r="E81" s="146">
        <f>财务费用表!E17</f>
        <v/>
      </c>
      <c r="F81" s="146">
        <f>财务费用表!F17</f>
        <v/>
      </c>
    </row>
    <row r="82">
      <c r="A82" s="1">
        <f>财务费用表!A18</f>
        <v/>
      </c>
      <c r="B82" s="1">
        <f>财务费用表!B18</f>
        <v/>
      </c>
      <c r="C82" s="72">
        <f>财务费用表!C18</f>
        <v/>
      </c>
      <c r="D82" s="72">
        <f>财务费用表!D18</f>
        <v/>
      </c>
      <c r="E82" s="72">
        <f>财务费用表!E18</f>
        <v/>
      </c>
      <c r="F82" s="72">
        <f>财务费用表!F18</f>
        <v/>
      </c>
      <c r="G82" s="72">
        <f>财务费用表!G18</f>
        <v/>
      </c>
      <c r="H82" s="72">
        <f>财务费用表!H18</f>
        <v/>
      </c>
      <c r="I82" s="72">
        <f>财务费用表!I18</f>
        <v/>
      </c>
      <c r="J82" s="72">
        <f>财务费用表!J18</f>
        <v/>
      </c>
      <c r="K82" s="72">
        <f>财务费用表!K18</f>
        <v/>
      </c>
      <c r="L82" s="72">
        <f>财务费用表!L18</f>
        <v/>
      </c>
      <c r="M82" s="72">
        <f>财务费用表!M18</f>
        <v/>
      </c>
    </row>
    <row r="83"/>
    <row r="84">
      <c r="A84" s="69" t="inlineStr">
        <is>
          <t>其他收益表</t>
        </is>
      </c>
      <c r="B84" s="70" t="n"/>
      <c r="C84" s="70" t="n"/>
      <c r="D84" s="70" t="n"/>
      <c r="E84" s="70" t="n"/>
      <c r="F84" s="70" t="n"/>
      <c r="G84" s="70" t="n"/>
      <c r="H84" s="70" t="n"/>
      <c r="I84" s="70" t="n"/>
      <c r="J84" s="70" t="n"/>
      <c r="K84" s="70" t="n"/>
      <c r="L84" s="70" t="n"/>
      <c r="M84" s="70" t="n"/>
      <c r="N84" s="70" t="n"/>
    </row>
    <row r="85">
      <c r="A85" s="1">
        <f>其他收益表!A11</f>
        <v/>
      </c>
      <c r="B85" s="146">
        <f>其他收益表!B11</f>
        <v/>
      </c>
      <c r="C85" s="146">
        <f>其他收益表!C11</f>
        <v/>
      </c>
      <c r="D85" s="146">
        <f>其他收益表!D11</f>
        <v/>
      </c>
      <c r="E85" s="146">
        <f>其他收益表!E11</f>
        <v/>
      </c>
      <c r="F85" s="146">
        <f>其他收益表!F11</f>
        <v/>
      </c>
    </row>
    <row r="86">
      <c r="A86" s="1">
        <f>其他收益表!A12</f>
        <v/>
      </c>
      <c r="B86" s="1">
        <f>其他收益表!B12</f>
        <v/>
      </c>
      <c r="C86" s="1">
        <f>其他收益表!C12</f>
        <v/>
      </c>
      <c r="D86" s="72">
        <f>其他收益表!D12</f>
        <v/>
      </c>
      <c r="E86" s="72">
        <f>其他收益表!E12</f>
        <v/>
      </c>
      <c r="F86" s="72">
        <f>其他收益表!F12</f>
        <v/>
      </c>
      <c r="G86" s="72">
        <f>其他收益表!G12</f>
        <v/>
      </c>
      <c r="H86" s="72">
        <f>其他收益表!H12</f>
        <v/>
      </c>
      <c r="I86" s="72">
        <f>其他收益表!I12</f>
        <v/>
      </c>
      <c r="J86" s="72">
        <f>其他收益表!J12</f>
        <v/>
      </c>
      <c r="K86" s="72">
        <f>其他收益表!K12</f>
        <v/>
      </c>
      <c r="L86" s="72">
        <f>其他收益表!L12</f>
        <v/>
      </c>
      <c r="M86" s="72">
        <f>其他收益表!M12</f>
        <v/>
      </c>
    </row>
    <row r="87"/>
    <row r="88">
      <c r="A88" s="69" t="inlineStr">
        <is>
          <t>投资收益表</t>
        </is>
      </c>
      <c r="B88" s="70" t="n"/>
      <c r="C88" s="70" t="n"/>
      <c r="D88" s="70" t="n"/>
      <c r="E88" s="70" t="n"/>
      <c r="F88" s="70" t="n"/>
      <c r="G88" s="70" t="n"/>
      <c r="H88" s="70" t="n"/>
      <c r="I88" s="70" t="n"/>
      <c r="J88" s="70" t="n"/>
      <c r="K88" s="70" t="n"/>
      <c r="L88" s="70" t="n"/>
      <c r="M88" s="70" t="n"/>
      <c r="N88" s="70" t="n"/>
    </row>
    <row r="89">
      <c r="A89" s="1">
        <f>投资收益表!A11</f>
        <v/>
      </c>
      <c r="B89" s="146">
        <f>投资收益表!B11</f>
        <v/>
      </c>
      <c r="C89" s="146">
        <f>投资收益表!C11</f>
        <v/>
      </c>
      <c r="D89" s="146">
        <f>投资收益表!D11</f>
        <v/>
      </c>
      <c r="E89" s="146">
        <f>投资收益表!E11</f>
        <v/>
      </c>
      <c r="F89" s="146">
        <f>投资收益表!F11</f>
        <v/>
      </c>
    </row>
    <row r="90">
      <c r="A90" s="1">
        <f>投资收益表!A12</f>
        <v/>
      </c>
      <c r="B90" s="1">
        <f>投资收益表!B12</f>
        <v/>
      </c>
      <c r="C90" s="1">
        <f>投资收益表!C12</f>
        <v/>
      </c>
      <c r="D90" s="72">
        <f>投资收益表!D12</f>
        <v/>
      </c>
      <c r="E90" s="72">
        <f>投资收益表!E12</f>
        <v/>
      </c>
      <c r="F90" s="72">
        <f>投资收益表!F12</f>
        <v/>
      </c>
      <c r="G90" s="72">
        <f>投资收益表!G12</f>
        <v/>
      </c>
      <c r="H90" s="72">
        <f>投资收益表!H12</f>
        <v/>
      </c>
      <c r="I90" s="72">
        <f>投资收益表!I12</f>
        <v/>
      </c>
      <c r="J90" s="72">
        <f>投资收益表!J12</f>
        <v/>
      </c>
      <c r="K90" s="72">
        <f>投资收益表!K12</f>
        <v/>
      </c>
      <c r="L90" s="72">
        <f>投资收益表!L12</f>
        <v/>
      </c>
      <c r="M90" s="72">
        <f>投资收益表!M12</f>
        <v/>
      </c>
    </row>
    <row r="91"/>
    <row r="92">
      <c r="A92" s="69" t="inlineStr">
        <is>
          <t>汇兑收益表</t>
        </is>
      </c>
      <c r="B92" s="70" t="n"/>
      <c r="C92" s="70" t="n"/>
      <c r="D92" s="70" t="n"/>
      <c r="E92" s="70" t="n"/>
      <c r="F92" s="70" t="n"/>
      <c r="G92" s="70" t="n"/>
      <c r="H92" s="70" t="n"/>
      <c r="I92" s="70" t="n"/>
      <c r="J92" s="70" t="n"/>
      <c r="K92" s="70" t="n"/>
      <c r="L92" s="70" t="n"/>
      <c r="M92" s="70" t="n"/>
      <c r="N92" s="70" t="n"/>
    </row>
    <row r="93">
      <c r="A93" s="1">
        <f>汇兑收益表!A11</f>
        <v/>
      </c>
      <c r="B93" s="146">
        <f>汇兑收益表!B11</f>
        <v/>
      </c>
      <c r="C93" s="146">
        <f>汇兑收益表!C11</f>
        <v/>
      </c>
      <c r="D93" s="146">
        <f>汇兑收益表!D11</f>
        <v/>
      </c>
      <c r="E93" s="146">
        <f>汇兑收益表!E11</f>
        <v/>
      </c>
      <c r="F93" s="146">
        <f>汇兑收益表!F11</f>
        <v/>
      </c>
    </row>
    <row r="94">
      <c r="A94" s="1">
        <f>汇兑收益表!A12</f>
        <v/>
      </c>
      <c r="B94" s="1">
        <f>汇兑收益表!B12</f>
        <v/>
      </c>
      <c r="C94" s="1">
        <f>汇兑收益表!C12</f>
        <v/>
      </c>
      <c r="D94" s="72">
        <f>汇兑收益表!D12</f>
        <v/>
      </c>
      <c r="E94" s="72">
        <f>汇兑收益表!E12</f>
        <v/>
      </c>
      <c r="F94" s="72">
        <f>汇兑收益表!F12</f>
        <v/>
      </c>
      <c r="G94" s="72">
        <f>汇兑收益表!G12</f>
        <v/>
      </c>
      <c r="H94" s="72">
        <f>汇兑收益表!H12</f>
        <v/>
      </c>
      <c r="I94" s="72">
        <f>汇兑收益表!I12</f>
        <v/>
      </c>
      <c r="J94" s="72">
        <f>汇兑收益表!J12</f>
        <v/>
      </c>
      <c r="K94" s="72">
        <f>汇兑收益表!K12</f>
        <v/>
      </c>
      <c r="L94" s="72">
        <f>汇兑收益表!L12</f>
        <v/>
      </c>
      <c r="M94" s="72">
        <f>汇兑收益表!M12</f>
        <v/>
      </c>
    </row>
    <row r="95"/>
    <row r="96">
      <c r="A96" s="69" t="inlineStr">
        <is>
          <t>净敞口套期收益表</t>
        </is>
      </c>
      <c r="B96" s="70" t="n"/>
      <c r="C96" s="70" t="n"/>
      <c r="D96" s="70" t="n"/>
      <c r="E96" s="70" t="n"/>
      <c r="F96" s="70" t="n"/>
      <c r="G96" s="70" t="n"/>
      <c r="H96" s="70" t="n"/>
      <c r="I96" s="70" t="n"/>
      <c r="J96" s="70" t="n"/>
      <c r="K96" s="70" t="n"/>
      <c r="L96" s="70" t="n"/>
      <c r="M96" s="70" t="n"/>
      <c r="N96" s="70" t="n"/>
    </row>
    <row r="97">
      <c r="A97" s="1">
        <f>净敞口套期收益表!A11</f>
        <v/>
      </c>
      <c r="B97" s="146">
        <f>净敞口套期收益表!B11</f>
        <v/>
      </c>
      <c r="C97" s="146">
        <f>净敞口套期收益表!C11</f>
        <v/>
      </c>
      <c r="D97" s="146">
        <f>净敞口套期收益表!D11</f>
        <v/>
      </c>
      <c r="E97" s="146">
        <f>净敞口套期收益表!E11</f>
        <v/>
      </c>
      <c r="F97" s="146">
        <f>净敞口套期收益表!F11</f>
        <v/>
      </c>
    </row>
    <row r="98">
      <c r="A98" s="1">
        <f>净敞口套期收益表!A12</f>
        <v/>
      </c>
      <c r="B98" s="1">
        <f>净敞口套期收益表!B12</f>
        <v/>
      </c>
      <c r="C98" s="1">
        <f>净敞口套期收益表!C12</f>
        <v/>
      </c>
      <c r="D98" s="72">
        <f>净敞口套期收益表!D12</f>
        <v/>
      </c>
      <c r="E98" s="72">
        <f>净敞口套期收益表!E12</f>
        <v/>
      </c>
      <c r="F98" s="72">
        <f>净敞口套期收益表!F12</f>
        <v/>
      </c>
      <c r="G98" s="72">
        <f>净敞口套期收益表!G12</f>
        <v/>
      </c>
      <c r="H98" s="72">
        <f>净敞口套期收益表!H12</f>
        <v/>
      </c>
      <c r="I98" s="72">
        <f>净敞口套期收益表!I12</f>
        <v/>
      </c>
      <c r="J98" s="72">
        <f>净敞口套期收益表!J12</f>
        <v/>
      </c>
      <c r="K98" s="72">
        <f>净敞口套期收益表!K12</f>
        <v/>
      </c>
      <c r="L98" s="72">
        <f>净敞口套期收益表!L12</f>
        <v/>
      </c>
      <c r="M98" s="72">
        <f>净敞口套期收益表!M12</f>
        <v/>
      </c>
    </row>
    <row r="99"/>
    <row r="100">
      <c r="A100" s="69" t="inlineStr">
        <is>
          <t>公允价值变动收益表</t>
        </is>
      </c>
      <c r="B100" s="70" t="n"/>
      <c r="C100" s="70" t="n"/>
      <c r="D100" s="70" t="n"/>
      <c r="E100" s="70" t="n"/>
      <c r="F100" s="70" t="n"/>
      <c r="G100" s="70" t="n"/>
      <c r="H100" s="70" t="n"/>
      <c r="I100" s="70" t="n"/>
      <c r="J100" s="70" t="n"/>
      <c r="K100" s="70" t="n"/>
      <c r="L100" s="70" t="n"/>
      <c r="M100" s="70" t="n"/>
      <c r="N100" s="70" t="n"/>
    </row>
    <row r="101">
      <c r="A101" s="1">
        <f>公允价值变动收益表!A11</f>
        <v/>
      </c>
      <c r="B101" s="146">
        <f>公允价值变动收益表!B11</f>
        <v/>
      </c>
      <c r="C101" s="146">
        <f>公允价值变动收益表!C11</f>
        <v/>
      </c>
      <c r="D101" s="146">
        <f>公允价值变动收益表!D11</f>
        <v/>
      </c>
      <c r="E101" s="146">
        <f>公允价值变动收益表!E11</f>
        <v/>
      </c>
      <c r="F101" s="146">
        <f>公允价值变动收益表!F11</f>
        <v/>
      </c>
    </row>
    <row r="102">
      <c r="A102" s="1">
        <f>公允价值变动收益表!A12</f>
        <v/>
      </c>
      <c r="B102" s="1">
        <f>公允价值变动收益表!B12</f>
        <v/>
      </c>
      <c r="C102" s="1">
        <f>公允价值变动收益表!C12</f>
        <v/>
      </c>
      <c r="D102" s="72">
        <f>公允价值变动收益表!D12</f>
        <v/>
      </c>
      <c r="E102" s="72">
        <f>公允价值变动收益表!E12</f>
        <v/>
      </c>
      <c r="F102" s="72">
        <f>公允价值变动收益表!F12</f>
        <v/>
      </c>
      <c r="G102" s="72">
        <f>公允价值变动收益表!G12</f>
        <v/>
      </c>
      <c r="H102" s="72">
        <f>公允价值变动收益表!H12</f>
        <v/>
      </c>
      <c r="I102" s="72">
        <f>公允价值变动收益表!I12</f>
        <v/>
      </c>
      <c r="J102" s="72">
        <f>公允价值变动收益表!J12</f>
        <v/>
      </c>
      <c r="K102" s="72">
        <f>公允价值变动收益表!K12</f>
        <v/>
      </c>
      <c r="L102" s="72">
        <f>公允价值变动收益表!L12</f>
        <v/>
      </c>
      <c r="M102" s="72">
        <f>公允价值变动收益表!M12</f>
        <v/>
      </c>
    </row>
    <row r="103"/>
    <row r="104">
      <c r="A104" s="69" t="inlineStr">
        <is>
          <t>信用减值损失表</t>
        </is>
      </c>
      <c r="B104" s="70" t="n"/>
      <c r="C104" s="70" t="n"/>
      <c r="D104" s="70" t="n"/>
      <c r="E104" s="70" t="n"/>
      <c r="F104" s="70" t="n"/>
      <c r="G104" s="70" t="n"/>
      <c r="H104" s="70" t="n"/>
      <c r="I104" s="70" t="n"/>
      <c r="J104" s="70" t="n"/>
      <c r="K104" s="70" t="n"/>
      <c r="L104" s="70" t="n"/>
      <c r="M104" s="70" t="n"/>
      <c r="N104" s="70" t="n"/>
    </row>
    <row r="105">
      <c r="A105" s="1">
        <f>信用减值损失表!A11</f>
        <v/>
      </c>
      <c r="B105" s="146">
        <f>信用减值损失表!B11</f>
        <v/>
      </c>
      <c r="C105" s="146">
        <f>信用减值损失表!C11</f>
        <v/>
      </c>
      <c r="D105" s="146">
        <f>信用减值损失表!D11</f>
        <v/>
      </c>
      <c r="E105" s="146">
        <f>信用减值损失表!E11</f>
        <v/>
      </c>
      <c r="F105" s="146">
        <f>信用减值损失表!F11</f>
        <v/>
      </c>
    </row>
    <row r="106">
      <c r="A106" s="1">
        <f>信用减值损失表!A12</f>
        <v/>
      </c>
      <c r="B106" s="1">
        <f>信用减值损失表!B12</f>
        <v/>
      </c>
      <c r="C106" s="1">
        <f>信用减值损失表!C12</f>
        <v/>
      </c>
      <c r="D106" s="72">
        <f>信用减值损失表!D12</f>
        <v/>
      </c>
      <c r="E106" s="72">
        <f>信用减值损失表!E12</f>
        <v/>
      </c>
      <c r="F106" s="72">
        <f>信用减值损失表!F12</f>
        <v/>
      </c>
      <c r="G106" s="72">
        <f>信用减值损失表!G12</f>
        <v/>
      </c>
      <c r="H106" s="72">
        <f>信用减值损失表!H12</f>
        <v/>
      </c>
      <c r="I106" s="72">
        <f>信用减值损失表!I12</f>
        <v/>
      </c>
      <c r="J106" s="72">
        <f>信用减值损失表!J12</f>
        <v/>
      </c>
      <c r="K106" s="72">
        <f>信用减值损失表!K12</f>
        <v/>
      </c>
      <c r="L106" s="72">
        <f>信用减值损失表!L12</f>
        <v/>
      </c>
      <c r="M106" s="72">
        <f>信用减值损失表!M12</f>
        <v/>
      </c>
    </row>
    <row r="107"/>
    <row r="108">
      <c r="A108" s="69" t="inlineStr">
        <is>
          <t>资产减值损失表</t>
        </is>
      </c>
      <c r="B108" s="70" t="n"/>
      <c r="C108" s="70" t="n"/>
      <c r="D108" s="70" t="n"/>
      <c r="E108" s="70" t="n"/>
      <c r="F108" s="70" t="n"/>
      <c r="G108" s="70" t="n"/>
      <c r="H108" s="70" t="n"/>
      <c r="I108" s="70" t="n"/>
      <c r="J108" s="70" t="n"/>
      <c r="K108" s="70" t="n"/>
      <c r="L108" s="70" t="n"/>
      <c r="M108" s="70" t="n"/>
      <c r="N108" s="70" t="n"/>
    </row>
    <row r="109">
      <c r="A109" s="1">
        <f>资产减值损失表!A11</f>
        <v/>
      </c>
      <c r="B109" s="146">
        <f>资产减值损失表!B11</f>
        <v/>
      </c>
      <c r="C109" s="146">
        <f>资产减值损失表!C11</f>
        <v/>
      </c>
      <c r="D109" s="146">
        <f>资产减值损失表!D11</f>
        <v/>
      </c>
      <c r="E109" s="146">
        <f>资产减值损失表!E11</f>
        <v/>
      </c>
      <c r="F109" s="146">
        <f>资产减值损失表!F11</f>
        <v/>
      </c>
    </row>
    <row r="110">
      <c r="A110" s="1">
        <f>资产减值损失表!A12</f>
        <v/>
      </c>
      <c r="B110" s="1">
        <f>资产减值损失表!B12</f>
        <v/>
      </c>
      <c r="C110" s="1">
        <f>资产减值损失表!C12</f>
        <v/>
      </c>
      <c r="D110" s="72">
        <f>资产减值损失表!D12</f>
        <v/>
      </c>
      <c r="E110" s="72">
        <f>资产减值损失表!E12</f>
        <v/>
      </c>
      <c r="F110" s="72">
        <f>资产减值损失表!F12</f>
        <v/>
      </c>
      <c r="G110" s="72">
        <f>资产减值损失表!G12</f>
        <v/>
      </c>
      <c r="H110" s="72">
        <f>资产减值损失表!H12</f>
        <v/>
      </c>
      <c r="I110" s="72">
        <f>资产减值损失表!I12</f>
        <v/>
      </c>
      <c r="J110" s="72">
        <f>资产减值损失表!J12</f>
        <v/>
      </c>
      <c r="K110" s="72">
        <f>资产减值损失表!K12</f>
        <v/>
      </c>
      <c r="L110" s="72">
        <f>资产减值损失表!L12</f>
        <v/>
      </c>
      <c r="M110" s="72">
        <f>资产减值损失表!M12</f>
        <v/>
      </c>
    </row>
    <row r="111"/>
    <row r="112">
      <c r="A112" s="69" t="inlineStr">
        <is>
          <t>资产处置收益表</t>
        </is>
      </c>
      <c r="B112" s="70" t="n"/>
      <c r="C112" s="70" t="n"/>
      <c r="D112" s="70" t="n"/>
      <c r="E112" s="70" t="n"/>
      <c r="F112" s="70" t="n"/>
      <c r="G112" s="70" t="n"/>
      <c r="H112" s="70" t="n"/>
      <c r="I112" s="70" t="n"/>
      <c r="J112" s="70" t="n"/>
      <c r="K112" s="70" t="n"/>
      <c r="L112" s="70" t="n"/>
      <c r="M112" s="70" t="n"/>
      <c r="N112" s="70" t="n"/>
    </row>
    <row r="113">
      <c r="A113" s="1">
        <f>资产处置收益表!A11</f>
        <v/>
      </c>
      <c r="B113" s="146">
        <f>资产处置收益表!B11</f>
        <v/>
      </c>
      <c r="C113" s="146">
        <f>资产处置收益表!C11</f>
        <v/>
      </c>
      <c r="D113" s="146">
        <f>资产处置收益表!D11</f>
        <v/>
      </c>
      <c r="E113" s="146">
        <f>资产处置收益表!E11</f>
        <v/>
      </c>
      <c r="F113" s="146">
        <f>资产处置收益表!F11</f>
        <v/>
      </c>
    </row>
    <row r="114">
      <c r="A114" s="1">
        <f>资产处置收益表!A12</f>
        <v/>
      </c>
      <c r="B114" s="1">
        <f>资产处置收益表!B12</f>
        <v/>
      </c>
      <c r="C114" s="1">
        <f>资产处置收益表!C12</f>
        <v/>
      </c>
      <c r="D114" s="72">
        <f>资产处置收益表!D12</f>
        <v/>
      </c>
      <c r="E114" s="72">
        <f>资产处置收益表!E12</f>
        <v/>
      </c>
      <c r="F114" s="72">
        <f>资产处置收益表!F12</f>
        <v/>
      </c>
      <c r="G114" s="72">
        <f>资产处置收益表!G12</f>
        <v/>
      </c>
      <c r="H114" s="72">
        <f>资产处置收益表!H12</f>
        <v/>
      </c>
      <c r="I114" s="72">
        <f>资产处置收益表!I12</f>
        <v/>
      </c>
      <c r="J114" s="72">
        <f>资产处置收益表!J12</f>
        <v/>
      </c>
      <c r="K114" s="72">
        <f>资产处置收益表!K12</f>
        <v/>
      </c>
      <c r="L114" s="72">
        <f>资产处置收益表!L12</f>
        <v/>
      </c>
      <c r="M114" s="72">
        <f>资产处置收益表!M12</f>
        <v/>
      </c>
    </row>
    <row r="115"/>
    <row r="116">
      <c r="A116" s="69" t="inlineStr">
        <is>
          <t>营业外收入表</t>
        </is>
      </c>
      <c r="B116" s="70" t="n"/>
      <c r="C116" s="70" t="n"/>
      <c r="D116" s="70" t="n"/>
      <c r="E116" s="70" t="n"/>
      <c r="F116" s="70" t="n"/>
      <c r="G116" s="70" t="n"/>
      <c r="H116" s="70" t="n"/>
      <c r="I116" s="70" t="n"/>
      <c r="J116" s="70" t="n"/>
      <c r="K116" s="70" t="n"/>
      <c r="L116" s="70" t="n"/>
      <c r="M116" s="70" t="n"/>
      <c r="N116" s="70" t="n"/>
    </row>
    <row r="117">
      <c r="A117" s="1">
        <f>营业外收入表!A11</f>
        <v/>
      </c>
      <c r="B117" s="146">
        <f>营业外收入表!B11</f>
        <v/>
      </c>
      <c r="C117" s="146">
        <f>营业外收入表!C11</f>
        <v/>
      </c>
      <c r="D117" s="146">
        <f>营业外收入表!D11</f>
        <v/>
      </c>
      <c r="E117" s="146">
        <f>营业外收入表!E11</f>
        <v/>
      </c>
      <c r="F117" s="146">
        <f>营业外收入表!F11</f>
        <v/>
      </c>
    </row>
    <row r="118">
      <c r="A118" s="1">
        <f>营业外收入表!A12</f>
        <v/>
      </c>
      <c r="B118" s="1">
        <f>营业外收入表!B12</f>
        <v/>
      </c>
      <c r="C118" s="1">
        <f>营业外收入表!C12</f>
        <v/>
      </c>
      <c r="D118" s="72">
        <f>营业外收入表!D12</f>
        <v/>
      </c>
      <c r="E118" s="72">
        <f>营业外收入表!E12</f>
        <v/>
      </c>
      <c r="F118" s="72">
        <f>营业外收入表!F12</f>
        <v/>
      </c>
      <c r="G118" s="72">
        <f>营业外收入表!G12</f>
        <v/>
      </c>
      <c r="H118" s="72">
        <f>营业外收入表!H12</f>
        <v/>
      </c>
      <c r="I118" s="72">
        <f>营业外收入表!I12</f>
        <v/>
      </c>
      <c r="J118" s="72">
        <f>营业外收入表!J12</f>
        <v/>
      </c>
      <c r="K118" s="72">
        <f>营业外收入表!K12</f>
        <v/>
      </c>
      <c r="L118" s="72">
        <f>营业外收入表!L12</f>
        <v/>
      </c>
      <c r="M118" s="72">
        <f>营业外收入表!M12</f>
        <v/>
      </c>
    </row>
    <row r="119"/>
    <row r="120">
      <c r="A120" s="69" t="inlineStr">
        <is>
          <t>营业外支出表</t>
        </is>
      </c>
      <c r="B120" s="70" t="n"/>
      <c r="C120" s="70" t="n"/>
      <c r="D120" s="70" t="n"/>
      <c r="E120" s="70" t="n"/>
      <c r="F120" s="70" t="n"/>
      <c r="G120" s="70" t="n"/>
      <c r="H120" s="70" t="n"/>
      <c r="I120" s="70" t="n"/>
      <c r="J120" s="70" t="n"/>
      <c r="K120" s="70" t="n"/>
      <c r="L120" s="70" t="n"/>
      <c r="M120" s="70" t="n"/>
      <c r="N120" s="70" t="n"/>
    </row>
    <row r="121">
      <c r="A121" s="1">
        <f>营业外支出表!A11</f>
        <v/>
      </c>
      <c r="B121" s="146">
        <f>营业外支出表!B11</f>
        <v/>
      </c>
      <c r="C121" s="146">
        <f>营业外支出表!C11</f>
        <v/>
      </c>
      <c r="D121" s="146">
        <f>营业外支出表!D11</f>
        <v/>
      </c>
      <c r="E121" s="146">
        <f>营业外支出表!E11</f>
        <v/>
      </c>
      <c r="F121" s="146">
        <f>营业外支出表!F11</f>
        <v/>
      </c>
    </row>
    <row r="122">
      <c r="A122" s="1">
        <f>营业外支出表!A12</f>
        <v/>
      </c>
      <c r="B122" s="1">
        <f>营业外支出表!B12</f>
        <v/>
      </c>
      <c r="C122" s="1">
        <f>营业外支出表!C12</f>
        <v/>
      </c>
      <c r="D122" s="72">
        <f>营业外支出表!D12</f>
        <v/>
      </c>
      <c r="E122" s="72">
        <f>营业外支出表!E12</f>
        <v/>
      </c>
      <c r="F122" s="72">
        <f>营业外支出表!F12</f>
        <v/>
      </c>
      <c r="G122" s="72">
        <f>营业外支出表!G12</f>
        <v/>
      </c>
      <c r="H122" s="72">
        <f>营业外支出表!H12</f>
        <v/>
      </c>
      <c r="I122" s="72">
        <f>营业外支出表!I12</f>
        <v/>
      </c>
      <c r="J122" s="72">
        <f>营业外支出表!J12</f>
        <v/>
      </c>
      <c r="K122" s="72">
        <f>营业外支出表!K12</f>
        <v/>
      </c>
      <c r="L122" s="72">
        <f>营业外支出表!L12</f>
        <v/>
      </c>
      <c r="M122" s="72">
        <f>营业外支出表!M12</f>
        <v/>
      </c>
    </row>
    <row r="123"/>
    <row r="124">
      <c r="A124" s="69" t="inlineStr">
        <is>
          <t>所得税表</t>
        </is>
      </c>
      <c r="B124" s="70" t="n"/>
      <c r="C124" s="70" t="n"/>
      <c r="D124" s="70" t="n"/>
      <c r="E124" s="70" t="n"/>
      <c r="F124" s="70" t="n"/>
      <c r="G124" s="70" t="n"/>
      <c r="H124" s="70" t="n"/>
      <c r="I124" s="70" t="n"/>
      <c r="J124" s="70" t="n"/>
      <c r="K124" s="70" t="n"/>
      <c r="L124" s="70" t="n"/>
      <c r="M124" s="70" t="n"/>
      <c r="N124" s="70" t="n"/>
    </row>
    <row r="125">
      <c r="A125" s="1">
        <f>所得税表!A45</f>
        <v/>
      </c>
      <c r="B125" s="146">
        <f>所得税表!B45</f>
        <v/>
      </c>
      <c r="C125" s="146">
        <f>所得税表!C45</f>
        <v/>
      </c>
      <c r="D125" s="146">
        <f>所得税表!D45</f>
        <v/>
      </c>
      <c r="E125" s="146">
        <f>所得税表!E45</f>
        <v/>
      </c>
      <c r="F125" s="146">
        <f>所得税表!F45</f>
        <v/>
      </c>
    </row>
    <row r="126"/>
    <row r="127">
      <c r="A127" s="69" t="inlineStr">
        <is>
          <t>折旧摊销、资本性支出表</t>
        </is>
      </c>
      <c r="B127" s="70" t="n"/>
      <c r="C127" s="70" t="n"/>
      <c r="D127" s="70" t="n"/>
      <c r="E127" s="70" t="n"/>
      <c r="F127" s="70" t="n"/>
      <c r="G127" s="70" t="n"/>
      <c r="H127" s="70" t="n"/>
      <c r="I127" s="70" t="n"/>
      <c r="J127" s="70" t="n"/>
      <c r="K127" s="70" t="n"/>
      <c r="L127" s="70" t="n"/>
      <c r="M127" s="70" t="n"/>
      <c r="N127" s="70" t="n"/>
    </row>
    <row r="128">
      <c r="A128" s="1">
        <f>折旧摊销、资本性支出表!A21</f>
        <v/>
      </c>
      <c r="B128" s="1">
        <f>折旧摊销、资本性支出表!B21</f>
        <v/>
      </c>
      <c r="C128" s="146">
        <f>折旧摊销、资本性支出表!C21</f>
        <v/>
      </c>
      <c r="D128" s="146">
        <f>折旧摊销、资本性支出表!D21</f>
        <v/>
      </c>
      <c r="E128" s="146">
        <f>折旧摊销、资本性支出表!E21</f>
        <v/>
      </c>
      <c r="F128" s="146">
        <f>折旧摊销、资本性支出表!F21</f>
        <v/>
      </c>
      <c r="G128" s="146">
        <f>折旧摊销、资本性支出表!G21</f>
        <v/>
      </c>
      <c r="H128" s="146">
        <f>折旧摊销、资本性支出表!H21</f>
        <v/>
      </c>
      <c r="I128" s="146">
        <f>折旧摊销、资本性支出表!I21</f>
        <v/>
      </c>
      <c r="J128" s="146">
        <f>折旧摊销、资本性支出表!J21</f>
        <v/>
      </c>
      <c r="K128" s="146">
        <f>折旧摊销、资本性支出表!K21</f>
        <v/>
      </c>
      <c r="L128" s="146">
        <f>折旧摊销、资本性支出表!L21</f>
        <v/>
      </c>
      <c r="M128" s="146">
        <f>折旧摊销、资本性支出表!M21</f>
        <v/>
      </c>
    </row>
    <row r="129">
      <c r="A129" s="1">
        <f>折旧摊销、资本性支出表!A22</f>
        <v/>
      </c>
      <c r="B129" s="1">
        <f>折旧摊销、资本性支出表!B22</f>
        <v/>
      </c>
      <c r="C129" s="146">
        <f>折旧摊销、资本性支出表!C22</f>
        <v/>
      </c>
      <c r="D129" s="146">
        <f>折旧摊销、资本性支出表!D22</f>
        <v/>
      </c>
      <c r="E129" s="146">
        <f>折旧摊销、资本性支出表!E22</f>
        <v/>
      </c>
      <c r="F129" s="146">
        <f>折旧摊销、资本性支出表!F22</f>
        <v/>
      </c>
      <c r="G129" s="146">
        <f>折旧摊销、资本性支出表!G22</f>
        <v/>
      </c>
      <c r="H129" s="146">
        <f>折旧摊销、资本性支出表!H22</f>
        <v/>
      </c>
      <c r="I129" s="146">
        <f>折旧摊销、资本性支出表!I22</f>
        <v/>
      </c>
      <c r="J129" s="146">
        <f>折旧摊销、资本性支出表!J22</f>
        <v/>
      </c>
      <c r="K129" s="146">
        <f>折旧摊销、资本性支出表!K22</f>
        <v/>
      </c>
      <c r="L129" s="146">
        <f>折旧摊销、资本性支出表!L22</f>
        <v/>
      </c>
      <c r="M129" s="146">
        <f>折旧摊销、资本性支出表!M22</f>
        <v/>
      </c>
    </row>
    <row r="130">
      <c r="A130" s="1">
        <f>折旧摊销、资本性支出表!A31</f>
        <v/>
      </c>
      <c r="B130" s="1">
        <f>折旧摊销、资本性支出表!B31</f>
        <v/>
      </c>
      <c r="C130" s="146">
        <f>折旧摊销、资本性支出表!C31</f>
        <v/>
      </c>
      <c r="D130" s="146">
        <f>折旧摊销、资本性支出表!D31</f>
        <v/>
      </c>
      <c r="E130" s="146">
        <f>折旧摊销、资本性支出表!E31</f>
        <v/>
      </c>
      <c r="F130" s="146">
        <f>折旧摊销、资本性支出表!F31</f>
        <v/>
      </c>
      <c r="G130" s="146">
        <f>折旧摊销、资本性支出表!G31</f>
        <v/>
      </c>
      <c r="H130" s="146">
        <f>折旧摊销、资本性支出表!H31</f>
        <v/>
      </c>
      <c r="I130" s="146">
        <f>折旧摊销、资本性支出表!I31</f>
        <v/>
      </c>
      <c r="J130" s="146">
        <f>折旧摊销、资本性支出表!J31</f>
        <v/>
      </c>
      <c r="K130" s="146">
        <f>折旧摊销、资本性支出表!K31</f>
        <v/>
      </c>
      <c r="L130" s="146">
        <f>折旧摊销、资本性支出表!L31</f>
        <v/>
      </c>
      <c r="M130" s="146">
        <f>折旧摊销、资本性支出表!M31</f>
        <v/>
      </c>
    </row>
    <row r="131"/>
    <row r="132">
      <c r="A132" s="69" t="inlineStr">
        <is>
          <t>营运资金表</t>
        </is>
      </c>
      <c r="B132" s="70" t="n"/>
      <c r="C132" s="70" t="n"/>
      <c r="D132" s="70" t="n"/>
      <c r="E132" s="70" t="n"/>
      <c r="F132" s="70" t="n"/>
      <c r="G132" s="70" t="n"/>
      <c r="H132" s="70" t="n"/>
      <c r="I132" s="70" t="n"/>
      <c r="J132" s="70" t="n"/>
      <c r="K132" s="70" t="n"/>
      <c r="L132" s="70" t="n"/>
      <c r="M132" s="70" t="n"/>
      <c r="N132" s="70" t="n"/>
    </row>
    <row r="133">
      <c r="A133" s="1">
        <f>营运资金表!A80</f>
        <v/>
      </c>
      <c r="B133" s="1">
        <f>营运资金表!B80</f>
        <v/>
      </c>
      <c r="C133" s="72">
        <f>营运资金表!C80</f>
        <v/>
      </c>
      <c r="D133" s="72">
        <f>营运资金表!D80</f>
        <v/>
      </c>
      <c r="E133" s="72">
        <f>营运资金表!E80</f>
        <v/>
      </c>
      <c r="F133" s="72">
        <f>营运资金表!F80</f>
        <v/>
      </c>
      <c r="G133" s="72">
        <f>营运资金表!G80</f>
        <v/>
      </c>
      <c r="H133" s="72">
        <f>营运资金表!H80</f>
        <v/>
      </c>
      <c r="I133" s="72">
        <f>营运资金表!I80</f>
        <v/>
      </c>
      <c r="J133" s="72">
        <f>营运资金表!J80</f>
        <v/>
      </c>
      <c r="K133" s="72">
        <f>营运资金表!K80</f>
        <v/>
      </c>
      <c r="L133" s="72">
        <f>营运资金表!L80</f>
        <v/>
      </c>
      <c r="M133" s="72">
        <f>营运资金表!M80</f>
        <v/>
      </c>
    </row>
    <row r="134">
      <c r="A134" s="1">
        <f>营运资金表!A81</f>
        <v/>
      </c>
      <c r="B134" s="1">
        <f>营运资金表!B81</f>
        <v/>
      </c>
      <c r="C134" s="1">
        <f>营运资金表!C81</f>
        <v/>
      </c>
      <c r="D134" s="1">
        <f>营运资金表!D81</f>
        <v/>
      </c>
      <c r="E134" s="1">
        <f>营运资金表!E81</f>
        <v/>
      </c>
    </row>
  </sheetData>
  <mergeCells count="2">
    <mergeCell ref="A2:N2"/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pane xSplit="1" ySplit="5" topLeftCell="B90" activePane="bottomRight" state="frozen"/>
      <selection pane="topRight" activeCell="A1" sqref="A1"/>
      <selection pane="bottomLeft" activeCell="A1" sqref="A1"/>
      <selection pane="bottomRight" activeCell="C69" sqref="C69:F69"/>
    </sheetView>
  </sheetViews>
  <sheetFormatPr baseColWidth="8" defaultColWidth="9.109375" defaultRowHeight="14.4"/>
  <cols>
    <col width="35" customWidth="1" style="1" min="1" max="1"/>
    <col width="15" customWidth="1" style="1" min="2" max="5"/>
    <col width="9.109375" customWidth="1" style="1" min="6" max="6"/>
    <col width="9.109375" customWidth="1" style="1" min="7" max="16384"/>
  </cols>
  <sheetData>
    <row r="1" ht="17.4" customHeight="1">
      <c r="A1" s="119" t="inlineStr">
        <is>
          <t>历史资产负债表</t>
        </is>
      </c>
      <c r="F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E3" s="3">
        <f>"金额单位："&amp;项目信息!B8&amp;""</f>
        <v/>
      </c>
    </row>
    <row r="4">
      <c r="A4" s="121" t="inlineStr">
        <is>
          <t>项目\年份</t>
        </is>
      </c>
      <c r="B4" s="121" t="inlineStr">
        <is>
          <t>2022年度</t>
        </is>
      </c>
      <c r="C4" s="121" t="inlineStr">
        <is>
          <t>2023年度</t>
        </is>
      </c>
      <c r="D4" s="121" t="inlineStr">
        <is>
          <t>2024年度</t>
        </is>
      </c>
      <c r="E4" s="121" t="inlineStr">
        <is>
          <t>2025年1-6月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</row>
    <row r="5">
      <c r="A5" s="147" t="n"/>
      <c r="B5" s="147" t="n"/>
      <c r="C5" s="147" t="n"/>
      <c r="D5" s="147" t="n"/>
      <c r="E5" s="147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</row>
    <row r="6">
      <c r="A6" s="122" t="inlineStr">
        <is>
          <t>流动资产：</t>
        </is>
      </c>
      <c r="B6" s="148" t="n"/>
      <c r="C6" s="148" t="n"/>
      <c r="D6" s="148" t="n"/>
      <c r="E6" s="148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</row>
    <row r="7">
      <c r="A7" s="122" t="inlineStr">
        <is>
          <t xml:space="preserve">    货币资金</t>
        </is>
      </c>
      <c r="B7" s="149" t="n"/>
      <c r="C7" s="149" t="n"/>
      <c r="D7" s="149" t="n"/>
      <c r="E7" s="149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</row>
    <row r="8">
      <c r="A8" s="122" t="inlineStr">
        <is>
          <t xml:space="preserve">    结算备付金</t>
        </is>
      </c>
      <c r="B8" s="149" t="n"/>
      <c r="C8" s="149" t="n"/>
      <c r="D8" s="149" t="n"/>
      <c r="E8" s="149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</row>
    <row r="9">
      <c r="A9" s="122" t="inlineStr">
        <is>
          <t xml:space="preserve">    拆出资金</t>
        </is>
      </c>
      <c r="B9" s="149" t="n"/>
      <c r="C9" s="149" t="n"/>
      <c r="D9" s="149" t="n"/>
      <c r="E9" s="149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</row>
    <row r="10">
      <c r="A10" s="122" t="inlineStr">
        <is>
          <t xml:space="preserve">    交易性金融资产</t>
        </is>
      </c>
      <c r="B10" s="149" t="n"/>
      <c r="C10" s="149" t="n"/>
      <c r="D10" s="149" t="n"/>
      <c r="E10" s="149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</row>
    <row r="11">
      <c r="A11" s="122" t="inlineStr">
        <is>
          <t xml:space="preserve">    衍生金融资产</t>
        </is>
      </c>
      <c r="B11" s="149" t="n"/>
      <c r="C11" s="149" t="n"/>
      <c r="D11" s="149" t="n"/>
      <c r="E11" s="149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</row>
    <row r="12">
      <c r="A12" s="122" t="inlineStr">
        <is>
          <t xml:space="preserve">    应收票据</t>
        </is>
      </c>
      <c r="B12" s="149" t="n"/>
      <c r="C12" s="149" t="n"/>
      <c r="D12" s="149" t="n"/>
      <c r="E12" s="149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</row>
    <row r="13">
      <c r="A13" s="122" t="inlineStr">
        <is>
          <t xml:space="preserve">    应收账款</t>
        </is>
      </c>
      <c r="B13" s="149" t="n"/>
      <c r="C13" s="149" t="n"/>
      <c r="D13" s="149" t="n"/>
      <c r="E13" s="149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</row>
    <row r="14">
      <c r="A14" s="122" t="inlineStr">
        <is>
          <t xml:space="preserve">    应收款项融资</t>
        </is>
      </c>
      <c r="B14" s="149" t="n"/>
      <c r="C14" s="149" t="n"/>
      <c r="D14" s="149" t="n"/>
      <c r="E14" s="149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</row>
    <row r="15">
      <c r="A15" s="122" t="inlineStr">
        <is>
          <t xml:space="preserve">    预付款项</t>
        </is>
      </c>
      <c r="B15" s="149" t="n"/>
      <c r="C15" s="149" t="n"/>
      <c r="D15" s="149" t="n"/>
      <c r="E15" s="149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</row>
    <row r="16">
      <c r="A16" s="122" t="inlineStr">
        <is>
          <t xml:space="preserve">    应收保费</t>
        </is>
      </c>
      <c r="B16" s="149" t="n"/>
      <c r="C16" s="149" t="n"/>
      <c r="D16" s="149" t="n"/>
      <c r="E16" s="149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</row>
    <row r="17">
      <c r="A17" s="122" t="inlineStr">
        <is>
          <t xml:space="preserve">    应收分保账款</t>
        </is>
      </c>
      <c r="B17" s="149" t="n"/>
      <c r="C17" s="149" t="n"/>
      <c r="D17" s="149" t="n"/>
      <c r="E17" s="149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</row>
    <row r="18">
      <c r="A18" s="122" t="inlineStr">
        <is>
          <t xml:space="preserve">    应收分保合同准备金</t>
        </is>
      </c>
      <c r="B18" s="149" t="n"/>
      <c r="C18" s="149" t="n"/>
      <c r="D18" s="149" t="n"/>
      <c r="E18" s="149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</row>
    <row r="19">
      <c r="A19" s="122" t="inlineStr">
        <is>
          <t xml:space="preserve">    其他应收款</t>
        </is>
      </c>
      <c r="B19" s="149" t="n"/>
      <c r="C19" s="149" t="n"/>
      <c r="D19" s="149" t="n"/>
      <c r="E19" s="149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</row>
    <row r="20">
      <c r="A20" s="122" t="inlineStr">
        <is>
          <t xml:space="preserve">    买入返售金融资产</t>
        </is>
      </c>
      <c r="B20" s="149" t="n"/>
      <c r="C20" s="149" t="n"/>
      <c r="D20" s="149" t="n"/>
      <c r="E20" s="149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</row>
    <row r="21">
      <c r="A21" s="122" t="inlineStr">
        <is>
          <t xml:space="preserve">    存货</t>
        </is>
      </c>
      <c r="B21" s="149" t="n"/>
      <c r="C21" s="149" t="n"/>
      <c r="D21" s="149" t="n"/>
      <c r="E21" s="149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</row>
    <row r="22">
      <c r="A22" s="122" t="inlineStr">
        <is>
          <t xml:space="preserve">    合同资产</t>
        </is>
      </c>
      <c r="B22" s="149" t="n"/>
      <c r="C22" s="149" t="n"/>
      <c r="D22" s="149" t="n"/>
      <c r="E22" s="149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</row>
    <row r="23">
      <c r="A23" s="122" t="inlineStr">
        <is>
          <t xml:space="preserve">    持有待售资产</t>
        </is>
      </c>
      <c r="B23" s="149" t="n"/>
      <c r="C23" s="149" t="n"/>
      <c r="D23" s="149" t="n"/>
      <c r="E23" s="149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</row>
    <row r="24">
      <c r="A24" s="122" t="inlineStr">
        <is>
          <t xml:space="preserve">    一年内到期的非流动资产</t>
        </is>
      </c>
      <c r="B24" s="149" t="n"/>
      <c r="C24" s="149" t="n"/>
      <c r="D24" s="149" t="n"/>
      <c r="E24" s="149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</row>
    <row r="25">
      <c r="A25" s="122" t="inlineStr">
        <is>
          <t xml:space="preserve">    其他流动资产</t>
        </is>
      </c>
      <c r="B25" s="149" t="n"/>
      <c r="C25" s="149" t="n"/>
      <c r="D25" s="149" t="n"/>
      <c r="E25" s="149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</row>
    <row r="26">
      <c r="A26" s="136" t="inlineStr">
        <is>
          <t>一、流动资产合计</t>
        </is>
      </c>
      <c r="B26" s="150">
        <f>SUM(B7:B25)</f>
        <v/>
      </c>
      <c r="C26" s="150">
        <f>SUM(C7:C25)</f>
        <v/>
      </c>
      <c r="D26" s="150">
        <f>SUM(D7:D25)</f>
        <v/>
      </c>
      <c r="E26" s="150">
        <f>SUM(E7:E25)</f>
        <v/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</row>
    <row r="27">
      <c r="A27" s="122" t="inlineStr">
        <is>
          <t>非流动资产：</t>
        </is>
      </c>
      <c r="B27" s="148" t="n"/>
      <c r="C27" s="148" t="n"/>
      <c r="D27" s="148" t="n"/>
      <c r="E27" s="148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</row>
    <row r="28">
      <c r="A28" s="122" t="inlineStr">
        <is>
          <t xml:space="preserve">    可供出售金融资产</t>
        </is>
      </c>
      <c r="B28" s="149" t="n"/>
      <c r="C28" s="149" t="n"/>
      <c r="D28" s="149" t="n"/>
      <c r="E28" s="149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</row>
    <row r="29">
      <c r="A29" s="122" t="inlineStr">
        <is>
          <t xml:space="preserve">    债权投资</t>
        </is>
      </c>
      <c r="B29" s="149" t="n"/>
      <c r="C29" s="149" t="n"/>
      <c r="D29" s="149" t="n"/>
      <c r="E29" s="149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</row>
    <row r="30">
      <c r="A30" s="122" t="inlineStr">
        <is>
          <t xml:space="preserve">    其他债权投资</t>
        </is>
      </c>
      <c r="B30" s="149" t="n"/>
      <c r="C30" s="149" t="n"/>
      <c r="D30" s="149" t="n"/>
      <c r="E30" s="149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</row>
    <row r="31">
      <c r="A31" s="122" t="inlineStr">
        <is>
          <t xml:space="preserve">    长期应收款</t>
        </is>
      </c>
      <c r="B31" s="149" t="n"/>
      <c r="C31" s="149" t="n"/>
      <c r="D31" s="149" t="n"/>
      <c r="E31" s="149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</row>
    <row r="32">
      <c r="A32" s="122" t="inlineStr">
        <is>
          <t xml:space="preserve">    长期股权投资</t>
        </is>
      </c>
      <c r="B32" s="149" t="n"/>
      <c r="C32" s="149" t="n"/>
      <c r="D32" s="149" t="n"/>
      <c r="E32" s="149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</row>
    <row r="33">
      <c r="A33" s="122" t="inlineStr">
        <is>
          <t xml:space="preserve">    其他权益工具投资</t>
        </is>
      </c>
      <c r="B33" s="149" t="n"/>
      <c r="C33" s="149" t="n"/>
      <c r="D33" s="149" t="n"/>
      <c r="E33" s="149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</row>
    <row r="34">
      <c r="A34" s="122" t="inlineStr">
        <is>
          <t xml:space="preserve">    其他非流动金融资产</t>
        </is>
      </c>
      <c r="B34" s="149" t="n"/>
      <c r="C34" s="149" t="n"/>
      <c r="D34" s="149" t="n"/>
      <c r="E34" s="149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</row>
    <row r="35">
      <c r="A35" s="122" t="inlineStr">
        <is>
          <t xml:space="preserve">    投资性房地产</t>
        </is>
      </c>
      <c r="B35" s="149" t="n"/>
      <c r="C35" s="149" t="n"/>
      <c r="D35" s="149" t="n"/>
      <c r="E35" s="149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</row>
    <row r="36">
      <c r="A36" s="122" t="inlineStr">
        <is>
          <t xml:space="preserve">    固定资产</t>
        </is>
      </c>
      <c r="B36" s="149" t="n"/>
      <c r="C36" s="149" t="n"/>
      <c r="D36" s="149" t="n"/>
      <c r="E36" s="149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</row>
    <row r="37">
      <c r="A37" s="122" t="inlineStr">
        <is>
          <t xml:space="preserve">    在建工程</t>
        </is>
      </c>
      <c r="B37" s="149" t="n"/>
      <c r="C37" s="149" t="n"/>
      <c r="D37" s="149" t="n"/>
      <c r="E37" s="149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</row>
    <row r="38">
      <c r="A38" s="122" t="inlineStr">
        <is>
          <t xml:space="preserve">    工程物资</t>
        </is>
      </c>
      <c r="B38" s="149" t="n"/>
      <c r="C38" s="149" t="n"/>
      <c r="D38" s="149" t="n"/>
      <c r="E38" s="149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</row>
    <row r="39">
      <c r="A39" s="122" t="inlineStr">
        <is>
          <t xml:space="preserve">    使用权资产</t>
        </is>
      </c>
      <c r="B39" s="149" t="n"/>
      <c r="C39" s="149" t="n"/>
      <c r="D39" s="149" t="n"/>
      <c r="E39" s="149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</row>
    <row r="40">
      <c r="A40" s="122" t="inlineStr">
        <is>
          <t xml:space="preserve">    无形资产</t>
        </is>
      </c>
      <c r="B40" s="149" t="n"/>
      <c r="C40" s="149" t="n"/>
      <c r="D40" s="149" t="n"/>
      <c r="E40" s="149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</row>
    <row r="41">
      <c r="A41" s="122" t="inlineStr">
        <is>
          <t xml:space="preserve">    开发支出</t>
        </is>
      </c>
      <c r="B41" s="149" t="n"/>
      <c r="C41" s="149" t="n"/>
      <c r="D41" s="149" t="n"/>
      <c r="E41" s="149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</row>
    <row r="42">
      <c r="A42" s="122" t="inlineStr">
        <is>
          <t xml:space="preserve">    商誉</t>
        </is>
      </c>
      <c r="B42" s="149" t="n"/>
      <c r="C42" s="149" t="n"/>
      <c r="D42" s="149" t="n"/>
      <c r="E42" s="149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</row>
    <row r="43">
      <c r="A43" s="122" t="inlineStr">
        <is>
          <t xml:space="preserve">    长期待摊费用</t>
        </is>
      </c>
      <c r="B43" s="149" t="n"/>
      <c r="C43" s="149" t="n"/>
      <c r="D43" s="149" t="n"/>
      <c r="E43" s="149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</row>
    <row r="44">
      <c r="A44" s="122" t="inlineStr">
        <is>
          <t xml:space="preserve">    递延所得税资产</t>
        </is>
      </c>
      <c r="B44" s="149" t="n"/>
      <c r="C44" s="149" t="n"/>
      <c r="D44" s="149" t="n"/>
      <c r="E44" s="149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</row>
    <row r="45">
      <c r="A45" s="122" t="inlineStr">
        <is>
          <t xml:space="preserve">    其他非流动资产</t>
        </is>
      </c>
      <c r="B45" s="149" t="n"/>
      <c r="C45" s="149" t="n"/>
      <c r="D45" s="149" t="n"/>
      <c r="E45" s="149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</row>
    <row r="46">
      <c r="A46" s="136" t="inlineStr">
        <is>
          <t>二、非流动资产合计</t>
        </is>
      </c>
      <c r="B46" s="150">
        <f>SUM(B28:B45)</f>
        <v/>
      </c>
      <c r="C46" s="150">
        <f>SUM(C28:C45)</f>
        <v/>
      </c>
      <c r="D46" s="150">
        <f>SUM(D28:D45)</f>
        <v/>
      </c>
      <c r="E46" s="150">
        <f>SUM(E28:E45)</f>
        <v/>
      </c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</row>
    <row r="47">
      <c r="A47" s="136" t="inlineStr">
        <is>
          <t>三、资产总计</t>
        </is>
      </c>
      <c r="B47" s="150">
        <f>B26+B46</f>
        <v/>
      </c>
      <c r="C47" s="150">
        <f>C26+C46</f>
        <v/>
      </c>
      <c r="D47" s="150">
        <f>D26+D46</f>
        <v/>
      </c>
      <c r="E47" s="150">
        <f>E26+E46</f>
        <v/>
      </c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</row>
    <row r="48">
      <c r="A48" s="122" t="inlineStr">
        <is>
          <t>流动负债：</t>
        </is>
      </c>
      <c r="B48" s="148" t="n"/>
      <c r="C48" s="148" t="n"/>
      <c r="D48" s="148" t="n"/>
      <c r="E48" s="148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</row>
    <row r="49">
      <c r="A49" s="122" t="inlineStr">
        <is>
          <t xml:space="preserve">    短期借款</t>
        </is>
      </c>
      <c r="B49" s="149" t="n"/>
      <c r="C49" s="149" t="n"/>
      <c r="D49" s="149" t="n"/>
      <c r="E49" s="149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</row>
    <row r="50">
      <c r="A50" s="122" t="inlineStr">
        <is>
          <t xml:space="preserve">    向中央银行借款</t>
        </is>
      </c>
      <c r="B50" s="149" t="n"/>
      <c r="C50" s="149" t="n"/>
      <c r="D50" s="149" t="n"/>
      <c r="E50" s="149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</row>
    <row r="51">
      <c r="A51" s="122" t="inlineStr">
        <is>
          <t xml:space="preserve">    拆入资金</t>
        </is>
      </c>
      <c r="B51" s="149" t="n"/>
      <c r="C51" s="149" t="n"/>
      <c r="D51" s="149" t="n"/>
      <c r="E51" s="149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</row>
    <row r="52">
      <c r="A52" s="122" t="inlineStr">
        <is>
          <t xml:space="preserve">    交易性金融负债</t>
        </is>
      </c>
      <c r="B52" s="149" t="n"/>
      <c r="C52" s="149" t="n"/>
      <c r="D52" s="149" t="n"/>
      <c r="E52" s="149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</row>
    <row r="53">
      <c r="A53" s="122" t="inlineStr">
        <is>
          <t xml:space="preserve">    衍生金融负债</t>
        </is>
      </c>
      <c r="B53" s="149" t="n"/>
      <c r="C53" s="149" t="n"/>
      <c r="D53" s="149" t="n"/>
      <c r="E53" s="149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</row>
    <row r="54">
      <c r="A54" s="122" t="inlineStr">
        <is>
          <t xml:space="preserve">    应付票据</t>
        </is>
      </c>
      <c r="B54" s="149" t="n"/>
      <c r="C54" s="149" t="n"/>
      <c r="D54" s="149" t="n"/>
      <c r="E54" s="149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</row>
    <row r="55">
      <c r="A55" s="122" t="inlineStr">
        <is>
          <t xml:space="preserve">    应付账款</t>
        </is>
      </c>
      <c r="B55" s="149" t="n"/>
      <c r="C55" s="149" t="n"/>
      <c r="D55" s="149" t="n"/>
      <c r="E55" s="149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</row>
    <row r="56">
      <c r="A56" s="122" t="inlineStr">
        <is>
          <t xml:space="preserve">    预收款项</t>
        </is>
      </c>
      <c r="B56" s="149" t="n"/>
      <c r="C56" s="149" t="n"/>
      <c r="D56" s="149" t="n"/>
      <c r="E56" s="149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</row>
    <row r="57">
      <c r="A57" s="122" t="inlineStr">
        <is>
          <t xml:space="preserve">    合同负债</t>
        </is>
      </c>
      <c r="B57" s="149" t="n"/>
      <c r="C57" s="149" t="n"/>
      <c r="D57" s="149" t="n"/>
      <c r="E57" s="149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</row>
    <row r="58">
      <c r="A58" s="122" t="inlineStr">
        <is>
          <t xml:space="preserve">    卖出回购金融资产款</t>
        </is>
      </c>
      <c r="B58" s="149" t="n"/>
      <c r="C58" s="149" t="n"/>
      <c r="D58" s="149" t="n"/>
      <c r="E58" s="149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</row>
    <row r="59">
      <c r="A59" s="122" t="inlineStr">
        <is>
          <t xml:space="preserve">    吸收存款及同业存放</t>
        </is>
      </c>
      <c r="B59" s="149" t="n"/>
      <c r="C59" s="149" t="n"/>
      <c r="D59" s="149" t="n"/>
      <c r="E59" s="149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</row>
    <row r="60">
      <c r="A60" s="122" t="inlineStr">
        <is>
          <t xml:space="preserve">    代理买卖证券款</t>
        </is>
      </c>
      <c r="B60" s="149" t="n"/>
      <c r="C60" s="149" t="n"/>
      <c r="D60" s="149" t="n"/>
      <c r="E60" s="149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</row>
    <row r="61">
      <c r="A61" s="122" t="inlineStr">
        <is>
          <t xml:space="preserve">    代理承销证券款</t>
        </is>
      </c>
      <c r="B61" s="149" t="n"/>
      <c r="C61" s="149" t="n"/>
      <c r="D61" s="149" t="n"/>
      <c r="E61" s="149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</row>
    <row r="62">
      <c r="A62" s="122" t="inlineStr">
        <is>
          <t xml:space="preserve">    应付职工薪酬</t>
        </is>
      </c>
      <c r="B62" s="149" t="n"/>
      <c r="C62" s="149" t="n"/>
      <c r="D62" s="149" t="n"/>
      <c r="E62" s="149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</row>
    <row r="63">
      <c r="A63" s="122" t="inlineStr">
        <is>
          <t xml:space="preserve">    应交税费</t>
        </is>
      </c>
      <c r="B63" s="149" t="n"/>
      <c r="C63" s="149" t="n"/>
      <c r="D63" s="149" t="n"/>
      <c r="E63" s="149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</row>
    <row r="64">
      <c r="A64" s="122" t="inlineStr">
        <is>
          <t xml:space="preserve">    其他应付款</t>
        </is>
      </c>
      <c r="B64" s="149" t="n"/>
      <c r="C64" s="149" t="n"/>
      <c r="D64" s="149" t="n"/>
      <c r="E64" s="149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</row>
    <row r="65">
      <c r="A65" s="122" t="inlineStr">
        <is>
          <t xml:space="preserve">    应付手续费及佣金</t>
        </is>
      </c>
      <c r="B65" s="149" t="n"/>
      <c r="C65" s="149" t="n"/>
      <c r="D65" s="149" t="n"/>
      <c r="E65" s="149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</row>
    <row r="66">
      <c r="A66" s="122" t="inlineStr">
        <is>
          <t xml:space="preserve">    应付分保账款</t>
        </is>
      </c>
      <c r="B66" s="149" t="n"/>
      <c r="C66" s="149" t="n"/>
      <c r="D66" s="149" t="n"/>
      <c r="E66" s="149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</row>
    <row r="67">
      <c r="A67" s="122" t="inlineStr">
        <is>
          <t xml:space="preserve">    持有待售负债</t>
        </is>
      </c>
      <c r="B67" s="149" t="n"/>
      <c r="C67" s="149" t="n"/>
      <c r="D67" s="149" t="n"/>
      <c r="E67" s="149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</row>
    <row r="68">
      <c r="A68" s="122" t="inlineStr">
        <is>
          <t xml:space="preserve">    一年内到期的非流动负债</t>
        </is>
      </c>
      <c r="B68" s="149" t="n"/>
      <c r="C68" s="149" t="n"/>
      <c r="D68" s="149" t="n"/>
      <c r="E68" s="149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</row>
    <row r="69">
      <c r="A69" s="122" t="inlineStr">
        <is>
          <t xml:space="preserve">    其他流动负债</t>
        </is>
      </c>
      <c r="B69" s="149" t="n"/>
      <c r="C69" s="149" t="n"/>
      <c r="D69" s="149" t="n"/>
      <c r="E69" s="149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</row>
    <row r="70">
      <c r="A70" s="136" t="inlineStr">
        <is>
          <t>四、流动负债合计</t>
        </is>
      </c>
      <c r="B70" s="150">
        <f>SUM(B49:B69)</f>
        <v/>
      </c>
      <c r="C70" s="150">
        <f>SUM(C49:C69)</f>
        <v/>
      </c>
      <c r="D70" s="150">
        <f>SUM(D49:D69)</f>
        <v/>
      </c>
      <c r="E70" s="150">
        <f>SUM(E49:E69)</f>
        <v/>
      </c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</row>
    <row r="71">
      <c r="A71" s="122" t="inlineStr">
        <is>
          <t>非流动负债：</t>
        </is>
      </c>
      <c r="B71" s="148" t="n"/>
      <c r="C71" s="148" t="n"/>
      <c r="D71" s="148" t="n"/>
      <c r="E71" s="148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</row>
    <row r="72">
      <c r="A72" s="122" t="inlineStr">
        <is>
          <t xml:space="preserve">    长期借款</t>
        </is>
      </c>
      <c r="B72" s="149" t="n"/>
      <c r="C72" s="149" t="n"/>
      <c r="D72" s="149" t="n"/>
      <c r="E72" s="149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</row>
    <row r="73">
      <c r="A73" s="122" t="inlineStr">
        <is>
          <t xml:space="preserve">    应付债券</t>
        </is>
      </c>
      <c r="B73" s="149" t="n"/>
      <c r="C73" s="149" t="n"/>
      <c r="D73" s="149" t="n"/>
      <c r="E73" s="149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</row>
    <row r="74">
      <c r="A74" s="122" t="inlineStr">
        <is>
          <t xml:space="preserve">    其中：优先股</t>
        </is>
      </c>
      <c r="B74" s="149" t="n"/>
      <c r="C74" s="149" t="n"/>
      <c r="D74" s="149" t="n"/>
      <c r="E74" s="149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</row>
    <row r="75">
      <c r="A75" s="122" t="inlineStr">
        <is>
          <t xml:space="preserve">          永续债</t>
        </is>
      </c>
      <c r="B75" s="149" t="n"/>
      <c r="C75" s="149" t="n"/>
      <c r="D75" s="149" t="n"/>
      <c r="E75" s="149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</row>
    <row r="76">
      <c r="A76" s="122" t="inlineStr">
        <is>
          <t xml:space="preserve">    租赁负债</t>
        </is>
      </c>
      <c r="B76" s="149" t="n"/>
      <c r="C76" s="149" t="n"/>
      <c r="D76" s="149" t="n"/>
      <c r="E76" s="149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</row>
    <row r="77">
      <c r="A77" s="122" t="inlineStr">
        <is>
          <t xml:space="preserve">    长期应付款</t>
        </is>
      </c>
      <c r="B77" s="149" t="n"/>
      <c r="C77" s="149" t="n"/>
      <c r="D77" s="149" t="n"/>
      <c r="E77" s="149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</row>
    <row r="78">
      <c r="A78" s="122" t="inlineStr">
        <is>
          <t xml:space="preserve">    预计负债</t>
        </is>
      </c>
      <c r="B78" s="149" t="n"/>
      <c r="C78" s="149" t="n"/>
      <c r="D78" s="149" t="n"/>
      <c r="E78" s="149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</row>
    <row r="79">
      <c r="A79" s="122" t="inlineStr">
        <is>
          <t xml:space="preserve">    递延收益</t>
        </is>
      </c>
      <c r="B79" s="149" t="n"/>
      <c r="C79" s="149" t="n"/>
      <c r="D79" s="149" t="n"/>
      <c r="E79" s="149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</row>
    <row r="80">
      <c r="A80" s="122" t="inlineStr">
        <is>
          <t xml:space="preserve">    递延所得税负债</t>
        </is>
      </c>
      <c r="B80" s="149" t="n"/>
      <c r="C80" s="149" t="n"/>
      <c r="D80" s="149" t="n"/>
      <c r="E80" s="149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</row>
    <row r="81">
      <c r="A81" s="122" t="inlineStr">
        <is>
          <t xml:space="preserve">    其他非流动负债</t>
        </is>
      </c>
      <c r="B81" s="149" t="n"/>
      <c r="C81" s="149" t="n"/>
      <c r="D81" s="149" t="n"/>
      <c r="E81" s="149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</row>
    <row r="82">
      <c r="A82" s="136" t="inlineStr">
        <is>
          <t>五、非流动负债合计</t>
        </is>
      </c>
      <c r="B82" s="150">
        <f>SUM(B72:B73,B76:B81)</f>
        <v/>
      </c>
      <c r="C82" s="150">
        <f>SUM(C72:C73,C76:C81)</f>
        <v/>
      </c>
      <c r="D82" s="150">
        <f>SUM(D72:D73,D76:D81)</f>
        <v/>
      </c>
      <c r="E82" s="150">
        <f>SUM(E72:E73,E76:E81)</f>
        <v/>
      </c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</row>
    <row r="83">
      <c r="A83" s="136" t="inlineStr">
        <is>
          <t>六、负债合计</t>
        </is>
      </c>
      <c r="B83" s="150">
        <f>B70+B82</f>
        <v/>
      </c>
      <c r="C83" s="150">
        <f>C70+C82</f>
        <v/>
      </c>
      <c r="D83" s="150">
        <f>D70+D82</f>
        <v/>
      </c>
      <c r="E83" s="150">
        <f>E70+E82</f>
        <v/>
      </c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</row>
    <row r="84">
      <c r="A84" s="122" t="inlineStr">
        <is>
          <t>所有者权益或净资产：</t>
        </is>
      </c>
      <c r="B84" s="148" t="n"/>
      <c r="C84" s="148" t="n"/>
      <c r="D84" s="148" t="n"/>
      <c r="E84" s="148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</row>
    <row r="85">
      <c r="A85" s="122" t="inlineStr">
        <is>
          <t xml:space="preserve">    股本</t>
        </is>
      </c>
      <c r="B85" s="149" t="n"/>
      <c r="C85" s="149" t="n"/>
      <c r="D85" s="149" t="n"/>
      <c r="E85" s="149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</row>
    <row r="86">
      <c r="A86" s="122" t="inlineStr">
        <is>
          <t xml:space="preserve">    其他权益工具</t>
        </is>
      </c>
      <c r="B86" s="149" t="n"/>
      <c r="C86" s="149" t="n"/>
      <c r="D86" s="149" t="n"/>
      <c r="E86" s="149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</row>
    <row r="87">
      <c r="A87" s="122" t="inlineStr">
        <is>
          <t xml:space="preserve">    其中：优先股</t>
        </is>
      </c>
      <c r="B87" s="149" t="n"/>
      <c r="C87" s="149" t="n"/>
      <c r="D87" s="149" t="n"/>
      <c r="E87" s="149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</row>
    <row r="88">
      <c r="A88" s="122" t="inlineStr">
        <is>
          <t xml:space="preserve">          永续债</t>
        </is>
      </c>
      <c r="B88" s="149" t="n"/>
      <c r="C88" s="149" t="n"/>
      <c r="D88" s="149" t="n"/>
      <c r="E88" s="149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</row>
    <row r="89">
      <c r="A89" s="122" t="inlineStr">
        <is>
          <t xml:space="preserve">    资本公积</t>
        </is>
      </c>
      <c r="B89" s="149" t="n"/>
      <c r="C89" s="149" t="n"/>
      <c r="D89" s="149" t="n"/>
      <c r="E89" s="149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</row>
    <row r="90">
      <c r="A90" s="122" t="inlineStr">
        <is>
          <t xml:space="preserve">    减：库存股</t>
        </is>
      </c>
      <c r="B90" s="149" t="n"/>
      <c r="C90" s="149" t="n"/>
      <c r="D90" s="149" t="n"/>
      <c r="E90" s="149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</row>
    <row r="91">
      <c r="A91" s="122" t="inlineStr">
        <is>
          <t xml:space="preserve">    其他综合收益</t>
        </is>
      </c>
      <c r="B91" s="149" t="n"/>
      <c r="C91" s="149" t="n"/>
      <c r="D91" s="149" t="n"/>
      <c r="E91" s="149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</row>
    <row r="92">
      <c r="A92" s="122" t="inlineStr">
        <is>
          <t xml:space="preserve">    专项储备</t>
        </is>
      </c>
      <c r="B92" s="149" t="n"/>
      <c r="C92" s="149" t="n"/>
      <c r="D92" s="149" t="n"/>
      <c r="E92" s="149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</row>
    <row r="93">
      <c r="A93" s="122" t="inlineStr">
        <is>
          <t xml:space="preserve">    盈余公积</t>
        </is>
      </c>
      <c r="B93" s="149" t="n"/>
      <c r="C93" s="149" t="n"/>
      <c r="D93" s="149" t="n"/>
      <c r="E93" s="149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</row>
    <row r="94">
      <c r="A94" s="122" t="inlineStr">
        <is>
          <t xml:space="preserve">    一般风险准备</t>
        </is>
      </c>
      <c r="B94" s="149" t="n"/>
      <c r="C94" s="149" t="n"/>
      <c r="D94" s="149" t="n"/>
      <c r="E94" s="149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</row>
    <row r="95">
      <c r="A95" s="122" t="inlineStr">
        <is>
          <t xml:space="preserve">    未分配利润</t>
        </is>
      </c>
      <c r="B95" s="149" t="n"/>
      <c r="C95" s="149" t="n"/>
      <c r="D95" s="149" t="n"/>
      <c r="E95" s="149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</row>
    <row r="96">
      <c r="A96" s="122" t="inlineStr">
        <is>
          <t xml:space="preserve">    归属于母公司所有者权益合计</t>
        </is>
      </c>
      <c r="B96" s="151">
        <f>B85+B86+B89-B90+B91+B92+B93+B94+B95</f>
        <v/>
      </c>
      <c r="C96" s="151">
        <f>C85+C86+C89-C90+C91+C92+C93+C94+C95</f>
        <v/>
      </c>
      <c r="D96" s="151">
        <f>D85+D86+D89-D90+D91+D92+D93+D94+D95</f>
        <v/>
      </c>
      <c r="E96" s="151">
        <f>E85+E86+E89-E90+E91+E92+E93+E94+E95</f>
        <v/>
      </c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</row>
    <row r="97">
      <c r="A97" s="122" t="inlineStr">
        <is>
          <t xml:space="preserve">    少数股东权益</t>
        </is>
      </c>
      <c r="B97" s="149" t="n"/>
      <c r="C97" s="149" t="n"/>
      <c r="D97" s="149" t="n"/>
      <c r="E97" s="149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</row>
    <row r="98">
      <c r="A98" s="136" t="inlineStr">
        <is>
          <t>七、所有者权益合计</t>
        </is>
      </c>
      <c r="B98" s="150">
        <f>SUM(B96:B97)</f>
        <v/>
      </c>
      <c r="C98" s="150">
        <f>SUM(C96:C97)</f>
        <v/>
      </c>
      <c r="D98" s="150">
        <f>SUM(D96:D97)</f>
        <v/>
      </c>
      <c r="E98" s="150">
        <f>SUM(E96:E97)</f>
        <v/>
      </c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</row>
    <row r="99">
      <c r="A99" s="136" t="inlineStr">
        <is>
          <t>八、负债和所有者权益总计</t>
        </is>
      </c>
      <c r="B99" s="150">
        <f>B83+B98</f>
        <v/>
      </c>
      <c r="C99" s="150">
        <f>C83+C98</f>
        <v/>
      </c>
      <c r="D99" s="150">
        <f>D83+D98</f>
        <v/>
      </c>
      <c r="E99" s="150">
        <f>E83+E98</f>
        <v/>
      </c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</row>
    <row r="100">
      <c r="A100" s="66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</row>
    <row r="101">
      <c r="A101" s="31" t="inlineStr">
        <is>
          <t>核对</t>
        </is>
      </c>
      <c r="B101" s="152">
        <f>B47-B99</f>
        <v/>
      </c>
      <c r="C101" s="152">
        <f>C47-C99</f>
        <v/>
      </c>
      <c r="D101" s="152">
        <f>D47-D99</f>
        <v/>
      </c>
      <c r="E101" s="152">
        <f>E47-E99</f>
        <v/>
      </c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7">
    <mergeCell ref="B4:B5"/>
    <mergeCell ref="A2:E2"/>
    <mergeCell ref="C4:C5"/>
    <mergeCell ref="A4:A5"/>
    <mergeCell ref="D4:D5"/>
    <mergeCell ref="E4:E5"/>
    <mergeCell ref="A1:E1"/>
  </mergeCells>
  <conditionalFormatting sqref="B101:E101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50"/>
  <sheetViews>
    <sheetView workbookViewId="0">
      <pane xSplit="1" ySplit="5" topLeftCell="B42" activePane="bottomRight" state="frozen"/>
      <selection pane="topRight" activeCell="A1" sqref="A1"/>
      <selection pane="bottomLeft" activeCell="A1" sqref="A1"/>
      <selection pane="bottomRight" activeCell="C45" sqref="C45:E45"/>
    </sheetView>
  </sheetViews>
  <sheetFormatPr baseColWidth="8" defaultColWidth="9.109375" defaultRowHeight="14.4"/>
  <cols>
    <col width="35" customWidth="1" style="1" min="1" max="1"/>
    <col width="15" customWidth="1" style="1" min="2" max="5"/>
    <col width="9.109375" customWidth="1" style="1" min="6" max="6"/>
    <col width="9.109375" customWidth="1" style="1" min="7" max="16384"/>
  </cols>
  <sheetData>
    <row r="1" ht="17.4" customHeight="1">
      <c r="A1" s="119" t="inlineStr">
        <is>
          <t>历史利润表</t>
        </is>
      </c>
      <c r="F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E3" s="3">
        <f>"金额单位："&amp;项目信息!B8&amp;""</f>
        <v/>
      </c>
    </row>
    <row r="4">
      <c r="A4" s="121" t="inlineStr">
        <is>
          <t>项目\年份</t>
        </is>
      </c>
      <c r="B4" s="121" t="inlineStr">
        <is>
          <t>2022年度</t>
        </is>
      </c>
      <c r="C4" s="121" t="inlineStr">
        <is>
          <t>2023年度</t>
        </is>
      </c>
      <c r="D4" s="121" t="inlineStr">
        <is>
          <t>2024年度</t>
        </is>
      </c>
      <c r="E4" s="121" t="inlineStr">
        <is>
          <t>2025年1-6月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</row>
    <row r="5">
      <c r="A5" s="147" t="n"/>
      <c r="B5" s="147" t="n"/>
      <c r="C5" s="147" t="n"/>
      <c r="D5" s="147" t="n"/>
      <c r="E5" s="147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</row>
    <row r="6">
      <c r="A6" s="136" t="inlineStr">
        <is>
          <t>一、营业总收入</t>
        </is>
      </c>
      <c r="B6" s="150">
        <f>B7+SUM(B10:B12)</f>
        <v/>
      </c>
      <c r="C6" s="150">
        <f>C7+SUM(C10:C12)</f>
        <v/>
      </c>
      <c r="D6" s="150">
        <f>D7+SUM(D10:D12)</f>
        <v/>
      </c>
      <c r="E6" s="150">
        <f>E7+SUM(E10:E12)</f>
        <v/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</row>
    <row r="7">
      <c r="A7" s="122" t="inlineStr">
        <is>
          <t>其中：营业收入</t>
        </is>
      </c>
      <c r="B7" s="151">
        <f>B8+B9</f>
        <v/>
      </c>
      <c r="C7" s="151">
        <f>C8+C9</f>
        <v/>
      </c>
      <c r="D7" s="151">
        <f>D8+D9</f>
        <v/>
      </c>
      <c r="E7" s="151">
        <f>E8+E9</f>
        <v/>
      </c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</row>
    <row r="8">
      <c r="A8" s="122" t="inlineStr">
        <is>
          <t xml:space="preserve">      其中：主营业务收入</t>
        </is>
      </c>
      <c r="B8" s="149" t="n"/>
      <c r="C8" s="149" t="n"/>
      <c r="D8" s="149" t="n"/>
      <c r="E8" s="149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</row>
    <row r="9">
      <c r="A9" s="122" t="inlineStr">
        <is>
          <t xml:space="preserve">            其他业务收入</t>
        </is>
      </c>
      <c r="B9" s="149" t="n"/>
      <c r="C9" s="149" t="n"/>
      <c r="D9" s="149" t="n"/>
      <c r="E9" s="149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</row>
    <row r="10">
      <c r="A10" s="122" t="inlineStr">
        <is>
          <t xml:space="preserve">      利息收入</t>
        </is>
      </c>
      <c r="B10" s="149" t="n"/>
      <c r="C10" s="149" t="n"/>
      <c r="D10" s="149" t="n"/>
      <c r="E10" s="149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</row>
    <row r="11">
      <c r="A11" s="122" t="inlineStr">
        <is>
          <t xml:space="preserve">      已赚保费</t>
        </is>
      </c>
      <c r="B11" s="149" t="n"/>
      <c r="C11" s="149" t="n"/>
      <c r="D11" s="149" t="n"/>
      <c r="E11" s="149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</row>
    <row r="12">
      <c r="A12" s="122" t="inlineStr">
        <is>
          <t xml:space="preserve">      手续费及佣金收入</t>
        </is>
      </c>
      <c r="B12" s="149" t="n"/>
      <c r="C12" s="149" t="n"/>
      <c r="D12" s="149" t="n"/>
      <c r="E12" s="149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</row>
    <row r="13">
      <c r="A13" s="136" t="inlineStr">
        <is>
          <t>二、营业总成本</t>
        </is>
      </c>
      <c r="B13" s="150">
        <f>B14+SUM(B17:B28)</f>
        <v/>
      </c>
      <c r="C13" s="150">
        <f>C14+SUM(C17:C28)</f>
        <v/>
      </c>
      <c r="D13" s="150">
        <f>D14+SUM(D17:D28)</f>
        <v/>
      </c>
      <c r="E13" s="150">
        <f>E14+SUM(E17:E28)</f>
        <v/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</row>
    <row r="14">
      <c r="A14" s="122" t="inlineStr">
        <is>
          <t>其中：营业成本</t>
        </is>
      </c>
      <c r="B14" s="151">
        <f>B15+B16</f>
        <v/>
      </c>
      <c r="C14" s="151">
        <f>C15+C16</f>
        <v/>
      </c>
      <c r="D14" s="151">
        <f>D15+D16</f>
        <v/>
      </c>
      <c r="E14" s="151">
        <f>E15+E16</f>
        <v/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</row>
    <row r="15">
      <c r="A15" s="122" t="inlineStr">
        <is>
          <t xml:space="preserve">      其中：主营业务成本</t>
        </is>
      </c>
      <c r="B15" s="149" t="n"/>
      <c r="C15" s="149" t="n"/>
      <c r="D15" s="149" t="n"/>
      <c r="E15" s="149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</row>
    <row r="16">
      <c r="A16" s="122" t="inlineStr">
        <is>
          <t xml:space="preserve">            其他业务成本</t>
        </is>
      </c>
      <c r="B16" s="149" t="n"/>
      <c r="C16" s="149" t="n"/>
      <c r="D16" s="149" t="n"/>
      <c r="E16" s="149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</row>
    <row r="17">
      <c r="A17" s="122" t="inlineStr">
        <is>
          <t xml:space="preserve">      利息支出</t>
        </is>
      </c>
      <c r="B17" s="149" t="n"/>
      <c r="C17" s="149" t="n"/>
      <c r="D17" s="149" t="n"/>
      <c r="E17" s="149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</row>
    <row r="18">
      <c r="A18" s="122" t="inlineStr">
        <is>
          <t xml:space="preserve">      手续费及佣金支出</t>
        </is>
      </c>
      <c r="B18" s="149" t="n"/>
      <c r="C18" s="149" t="n"/>
      <c r="D18" s="149" t="n"/>
      <c r="E18" s="149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</row>
    <row r="19">
      <c r="A19" s="122" t="inlineStr">
        <is>
          <t xml:space="preserve">      退保金</t>
        </is>
      </c>
      <c r="B19" s="149" t="n"/>
      <c r="C19" s="149" t="n"/>
      <c r="D19" s="149" t="n"/>
      <c r="E19" s="149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</row>
    <row r="20">
      <c r="A20" s="122" t="inlineStr">
        <is>
          <t xml:space="preserve">      赔付支出净额</t>
        </is>
      </c>
      <c r="B20" s="149" t="n"/>
      <c r="C20" s="149" t="n"/>
      <c r="D20" s="149" t="n"/>
      <c r="E20" s="149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</row>
    <row r="21">
      <c r="A21" s="122" t="inlineStr">
        <is>
          <t xml:space="preserve">      提取保险责任准备金净额</t>
        </is>
      </c>
      <c r="B21" s="149" t="n"/>
      <c r="C21" s="149" t="n"/>
      <c r="D21" s="149" t="n"/>
      <c r="E21" s="149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</row>
    <row r="22">
      <c r="A22" s="122" t="inlineStr">
        <is>
          <t xml:space="preserve">      保单红利支出</t>
        </is>
      </c>
      <c r="B22" s="149" t="n"/>
      <c r="C22" s="149" t="n"/>
      <c r="D22" s="149" t="n"/>
      <c r="E22" s="149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</row>
    <row r="23">
      <c r="A23" s="122" t="inlineStr">
        <is>
          <t xml:space="preserve">      分保费用</t>
        </is>
      </c>
      <c r="B23" s="149" t="n"/>
      <c r="C23" s="149" t="n"/>
      <c r="D23" s="149" t="n"/>
      <c r="E23" s="149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</row>
    <row r="24">
      <c r="A24" s="122" t="inlineStr">
        <is>
          <t xml:space="preserve">      税金及附加</t>
        </is>
      </c>
      <c r="B24" s="149" t="n"/>
      <c r="C24" s="149" t="n"/>
      <c r="D24" s="149" t="n"/>
      <c r="E24" s="149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</row>
    <row r="25">
      <c r="A25" s="122" t="inlineStr">
        <is>
          <t xml:space="preserve">      销售费用</t>
        </is>
      </c>
      <c r="B25" s="149" t="n"/>
      <c r="C25" s="149" t="n"/>
      <c r="D25" s="149" t="n"/>
      <c r="E25" s="149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</row>
    <row r="26">
      <c r="A26" s="122" t="inlineStr">
        <is>
          <t xml:space="preserve">      管理费用</t>
        </is>
      </c>
      <c r="B26" s="149" t="n"/>
      <c r="C26" s="149" t="n"/>
      <c r="D26" s="149" t="n"/>
      <c r="E26" s="149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</row>
    <row r="27">
      <c r="A27" s="122" t="inlineStr">
        <is>
          <t xml:space="preserve">      研发费用</t>
        </is>
      </c>
      <c r="B27" s="149" t="n"/>
      <c r="C27" s="149" t="n"/>
      <c r="D27" s="149" t="n"/>
      <c r="E27" s="149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</row>
    <row r="28">
      <c r="A28" s="122" t="inlineStr">
        <is>
          <t xml:space="preserve">      财务费用</t>
        </is>
      </c>
      <c r="B28" s="149" t="n"/>
      <c r="C28" s="149" t="n"/>
      <c r="D28" s="149" t="n"/>
      <c r="E28" s="149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</row>
    <row r="29">
      <c r="A29" s="122" t="inlineStr">
        <is>
          <t xml:space="preserve">      其中：利息费用</t>
        </is>
      </c>
      <c r="B29" s="149" t="n"/>
      <c r="C29" s="149" t="n"/>
      <c r="D29" s="149" t="n"/>
      <c r="E29" s="149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</row>
    <row r="30">
      <c r="A30" s="122" t="inlineStr">
        <is>
          <t xml:space="preserve">            利息收入</t>
        </is>
      </c>
      <c r="B30" s="149" t="n"/>
      <c r="C30" s="149" t="n"/>
      <c r="D30" s="149" t="n"/>
      <c r="E30" s="149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</row>
    <row r="31">
      <c r="A31" s="122" t="inlineStr">
        <is>
          <t>加：其他收益</t>
        </is>
      </c>
      <c r="B31" s="149" t="n"/>
      <c r="C31" s="149" t="n"/>
      <c r="D31" s="149" t="n"/>
      <c r="E31" s="149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</row>
    <row r="32">
      <c r="A32" s="122" t="inlineStr">
        <is>
          <t xml:space="preserve">    投资收益（损失以“-”号填列）</t>
        </is>
      </c>
      <c r="B32" s="149" t="n"/>
      <c r="C32" s="149" t="n"/>
      <c r="D32" s="149" t="n"/>
      <c r="E32" s="149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</row>
    <row r="33">
      <c r="A33" s="122" t="inlineStr">
        <is>
          <t xml:space="preserve">    其中：对联营企业和合营企业的投资收益</t>
        </is>
      </c>
      <c r="B33" s="149" t="n"/>
      <c r="C33" s="149" t="n"/>
      <c r="D33" s="149" t="n"/>
      <c r="E33" s="149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</row>
    <row r="34">
      <c r="A34" s="122" t="inlineStr">
        <is>
          <t xml:space="preserve">          以摊余成本计量的金融资产终止确认收益</t>
        </is>
      </c>
      <c r="B34" s="149" t="n"/>
      <c r="C34" s="149" t="n"/>
      <c r="D34" s="149" t="n"/>
      <c r="E34" s="149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</row>
    <row r="35">
      <c r="A35" s="122" t="inlineStr">
        <is>
          <t xml:space="preserve">    汇兑收益（损失以“-”号填列）</t>
        </is>
      </c>
      <c r="B35" s="149" t="n"/>
      <c r="C35" s="149" t="n"/>
      <c r="D35" s="149" t="n"/>
      <c r="E35" s="149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</row>
    <row r="36">
      <c r="A36" s="122" t="inlineStr">
        <is>
          <t xml:space="preserve">    净敞口套期收益（损失以“-”号填列）</t>
        </is>
      </c>
      <c r="B36" s="149" t="n"/>
      <c r="C36" s="149" t="n"/>
      <c r="D36" s="149" t="n"/>
      <c r="E36" s="149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</row>
    <row r="37">
      <c r="A37" s="122" t="inlineStr">
        <is>
          <t xml:space="preserve">    公允价值变动收益（损失以“-”号填列）</t>
        </is>
      </c>
      <c r="B37" s="149" t="n"/>
      <c r="C37" s="149" t="n"/>
      <c r="D37" s="149" t="n"/>
      <c r="E37" s="149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</row>
    <row r="38">
      <c r="A38" s="122" t="inlineStr">
        <is>
          <t xml:space="preserve">    信用减值损失（损失以“-”号填列）</t>
        </is>
      </c>
      <c r="B38" s="149" t="n"/>
      <c r="C38" s="149" t="n"/>
      <c r="D38" s="149" t="n"/>
      <c r="E38" s="149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</row>
    <row r="39">
      <c r="A39" s="122" t="inlineStr">
        <is>
          <t xml:space="preserve">    资产减值损失（损失以“-”号填列）</t>
        </is>
      </c>
      <c r="B39" s="149" t="n"/>
      <c r="C39" s="149" t="n"/>
      <c r="D39" s="149" t="n"/>
      <c r="E39" s="149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</row>
    <row r="40">
      <c r="A40" s="122" t="inlineStr">
        <is>
          <t xml:space="preserve">    资产处置收益（损失以“-”号填列）</t>
        </is>
      </c>
      <c r="B40" s="149" t="n"/>
      <c r="C40" s="149" t="n"/>
      <c r="D40" s="149" t="n"/>
      <c r="E40" s="149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</row>
    <row r="41">
      <c r="A41" s="136" t="inlineStr">
        <is>
          <t>三、营业利润</t>
        </is>
      </c>
      <c r="B41" s="150">
        <f>B6-B13+SUM(B31:B32)+SUM(B35:B40)</f>
        <v/>
      </c>
      <c r="C41" s="150">
        <f>C6-C13+SUM(C31:C32)+SUM(C35:C40)</f>
        <v/>
      </c>
      <c r="D41" s="150">
        <f>D6-D13+SUM(D31:D32)+SUM(D35:D40)</f>
        <v/>
      </c>
      <c r="E41" s="150">
        <f>E6-E13+SUM(E31:E32)+SUM(E35:E40)</f>
        <v/>
      </c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</row>
    <row r="42">
      <c r="A42" s="122" t="inlineStr">
        <is>
          <t xml:space="preserve">    加：营业外收入</t>
        </is>
      </c>
      <c r="B42" s="149" t="n"/>
      <c r="C42" s="149" t="n"/>
      <c r="D42" s="149" t="n"/>
      <c r="E42" s="149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</row>
    <row r="43">
      <c r="A43" s="122" t="inlineStr">
        <is>
          <t xml:space="preserve">    减：营业外支出</t>
        </is>
      </c>
      <c r="B43" s="149" t="n"/>
      <c r="C43" s="149" t="n"/>
      <c r="D43" s="149" t="n"/>
      <c r="E43" s="149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</row>
    <row r="44">
      <c r="A44" s="136" t="inlineStr">
        <is>
          <t>四、利润总额</t>
        </is>
      </c>
      <c r="B44" s="150">
        <f>B41+B42-B43</f>
        <v/>
      </c>
      <c r="C44" s="150">
        <f>C41+C42-C43</f>
        <v/>
      </c>
      <c r="D44" s="150">
        <f>D41+D42-D43</f>
        <v/>
      </c>
      <c r="E44" s="150">
        <f>E41+E42-E43</f>
        <v/>
      </c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</row>
    <row r="45">
      <c r="A45" s="122" t="inlineStr">
        <is>
          <t xml:space="preserve">    减:  所得税费用</t>
        </is>
      </c>
      <c r="B45" s="149" t="n"/>
      <c r="C45" s="149" t="n"/>
      <c r="D45" s="149" t="n"/>
      <c r="E45" s="149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</row>
    <row r="46">
      <c r="A46" s="136" t="inlineStr">
        <is>
          <t>五、净利润</t>
        </is>
      </c>
      <c r="B46" s="150">
        <f>B44-B45</f>
        <v/>
      </c>
      <c r="C46" s="150">
        <f>C44-C45</f>
        <v/>
      </c>
      <c r="D46" s="150">
        <f>D44-D45</f>
        <v/>
      </c>
      <c r="E46" s="150">
        <f>E44-E45</f>
        <v/>
      </c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</row>
    <row r="47">
      <c r="A47" s="122" t="inlineStr">
        <is>
          <t>（一）持续经营净利润</t>
        </is>
      </c>
      <c r="B47" s="149" t="n"/>
      <c r="C47" s="149" t="n"/>
      <c r="D47" s="149" t="n"/>
      <c r="E47" s="149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</row>
    <row r="48">
      <c r="A48" s="122" t="inlineStr">
        <is>
          <t>（二）终止经营净利润</t>
        </is>
      </c>
      <c r="B48" s="149" t="n"/>
      <c r="C48" s="149" t="n"/>
      <c r="D48" s="149" t="n"/>
      <c r="E48" s="149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</row>
    <row r="49">
      <c r="A49" s="122" t="inlineStr">
        <is>
          <t>减：少数股东损益</t>
        </is>
      </c>
      <c r="B49" s="149" t="n"/>
      <c r="C49" s="149" t="n"/>
      <c r="D49" s="149" t="n"/>
      <c r="E49" s="149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</row>
    <row r="50">
      <c r="A50" s="136" t="inlineStr">
        <is>
          <t>六、归属于母公司损益</t>
        </is>
      </c>
      <c r="B50" s="150">
        <f>B46-B49</f>
        <v/>
      </c>
      <c r="C50" s="150">
        <f>C46-C49</f>
        <v/>
      </c>
      <c r="D50" s="150">
        <f>D46-D49</f>
        <v/>
      </c>
      <c r="E50" s="150">
        <f>E46-E49</f>
        <v/>
      </c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7">
    <mergeCell ref="B4:B5"/>
    <mergeCell ref="A2:E2"/>
    <mergeCell ref="C4:C5"/>
    <mergeCell ref="A4:A5"/>
    <mergeCell ref="D4:D5"/>
    <mergeCell ref="E4:E5"/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4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1"/>
    </sheetView>
  </sheetViews>
  <sheetFormatPr baseColWidth="8" defaultColWidth="9.109375" defaultRowHeight="14.4"/>
  <cols>
    <col width="35" customWidth="1" style="1" min="1" max="1"/>
    <col width="15" customWidth="1" style="1" min="2" max="5"/>
    <col width="9.109375" customWidth="1" style="1" min="6" max="6"/>
    <col width="9.109375" customWidth="1" style="1" min="7" max="16384"/>
  </cols>
  <sheetData>
    <row r="1" ht="17.4" customHeight="1">
      <c r="A1" s="119" t="inlineStr">
        <is>
          <t>历史现金流量表</t>
        </is>
      </c>
      <c r="F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E3" s="3">
        <f>"金额单位："&amp;项目信息!B8&amp;""</f>
        <v/>
      </c>
    </row>
    <row r="4">
      <c r="A4" s="121" t="inlineStr">
        <is>
          <t>项目\年份</t>
        </is>
      </c>
      <c r="B4" s="121" t="inlineStr">
        <is>
          <t>2022年度</t>
        </is>
      </c>
      <c r="C4" s="121" t="inlineStr">
        <is>
          <t>2023年度</t>
        </is>
      </c>
      <c r="D4" s="121" t="inlineStr">
        <is>
          <t>2024年度</t>
        </is>
      </c>
      <c r="E4" s="121" t="inlineStr">
        <is>
          <t>2025年1-6月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</row>
    <row r="5">
      <c r="A5" s="122" t="inlineStr">
        <is>
          <t>一、经营活动产生的现金流量：</t>
        </is>
      </c>
      <c r="B5" s="148" t="n"/>
      <c r="C5" s="148" t="n"/>
      <c r="D5" s="148" t="n"/>
      <c r="E5" s="148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</row>
    <row r="6">
      <c r="A6" s="122" t="inlineStr">
        <is>
          <t xml:space="preserve">    销售商品、提供劳务收到的现金</t>
        </is>
      </c>
      <c r="B6" s="149" t="n"/>
      <c r="C6" s="149" t="n"/>
      <c r="D6" s="149" t="n"/>
      <c r="E6" s="149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</row>
    <row r="7">
      <c r="A7" s="122" t="inlineStr">
        <is>
          <t xml:space="preserve">    收到的税费返还</t>
        </is>
      </c>
      <c r="B7" s="149" t="n"/>
      <c r="C7" s="149" t="n"/>
      <c r="D7" s="149" t="n"/>
      <c r="E7" s="149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</row>
    <row r="8">
      <c r="A8" s="122" t="inlineStr">
        <is>
          <t xml:space="preserve">    收到其他与经营活动有关的现金</t>
        </is>
      </c>
      <c r="B8" s="149" t="n"/>
      <c r="C8" s="149" t="n"/>
      <c r="D8" s="149" t="n"/>
      <c r="E8" s="149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</row>
    <row r="9">
      <c r="A9" s="122" t="inlineStr">
        <is>
          <t>经营活动现金流入小计</t>
        </is>
      </c>
      <c r="B9" s="151">
        <f>SUM(B6:B8)</f>
        <v/>
      </c>
      <c r="C9" s="151">
        <f>SUM(C6:C8)</f>
        <v/>
      </c>
      <c r="D9" s="151">
        <f>SUM(D6:D8)</f>
        <v/>
      </c>
      <c r="E9" s="151">
        <f>SUM(E6:E8)</f>
        <v/>
      </c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</row>
    <row r="10">
      <c r="A10" s="122" t="inlineStr">
        <is>
          <t xml:space="preserve">    购买商品、接受劳务支付的现金</t>
        </is>
      </c>
      <c r="B10" s="149" t="n"/>
      <c r="C10" s="149" t="n"/>
      <c r="D10" s="149" t="n"/>
      <c r="E10" s="149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</row>
    <row r="11">
      <c r="A11" s="122" t="inlineStr">
        <is>
          <t xml:space="preserve">    支付给职工以及为职工支付的现金</t>
        </is>
      </c>
      <c r="B11" s="149" t="n"/>
      <c r="C11" s="149" t="n"/>
      <c r="D11" s="149" t="n"/>
      <c r="E11" s="149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</row>
    <row r="12">
      <c r="A12" s="122" t="inlineStr">
        <is>
          <t xml:space="preserve">    支付的各项税费</t>
        </is>
      </c>
      <c r="B12" s="149" t="n"/>
      <c r="C12" s="149" t="n"/>
      <c r="D12" s="149" t="n"/>
      <c r="E12" s="149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</row>
    <row r="13">
      <c r="A13" s="122" t="inlineStr">
        <is>
          <t xml:space="preserve">    支付其他与经营活动有关的现金</t>
        </is>
      </c>
      <c r="B13" s="149" t="n"/>
      <c r="C13" s="149" t="n"/>
      <c r="D13" s="149" t="n"/>
      <c r="E13" s="149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</row>
    <row r="14">
      <c r="A14" s="122" t="inlineStr">
        <is>
          <t>经营活动现金流出小计</t>
        </is>
      </c>
      <c r="B14" s="151">
        <f>SUM(B10:B13)</f>
        <v/>
      </c>
      <c r="C14" s="151">
        <f>SUM(C10:C13)</f>
        <v/>
      </c>
      <c r="D14" s="151">
        <f>SUM(D10:D13)</f>
        <v/>
      </c>
      <c r="E14" s="151">
        <f>SUM(E10:E13)</f>
        <v/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</row>
    <row r="15">
      <c r="A15" s="136" t="inlineStr">
        <is>
          <t>经营活动产生的现金流量净额</t>
        </is>
      </c>
      <c r="B15" s="150">
        <f>B9-B14</f>
        <v/>
      </c>
      <c r="C15" s="150">
        <f>C9-C14</f>
        <v/>
      </c>
      <c r="D15" s="150">
        <f>D9-D14</f>
        <v/>
      </c>
      <c r="E15" s="150">
        <f>E9-E14</f>
        <v/>
      </c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</row>
    <row r="16">
      <c r="A16" s="122" t="inlineStr">
        <is>
          <t>二、投资活动产生的现金流量：</t>
        </is>
      </c>
      <c r="B16" s="148" t="n"/>
      <c r="C16" s="148" t="n"/>
      <c r="D16" s="148" t="n"/>
      <c r="E16" s="148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</row>
    <row r="17">
      <c r="A17" s="122" t="inlineStr">
        <is>
          <t xml:space="preserve">    收回投资收到的现金</t>
        </is>
      </c>
      <c r="B17" s="149" t="n"/>
      <c r="C17" s="149" t="n"/>
      <c r="D17" s="149" t="n"/>
      <c r="E17" s="149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</row>
    <row r="18">
      <c r="A18" s="122" t="inlineStr">
        <is>
          <t xml:space="preserve">    取得投资收益收到的现金</t>
        </is>
      </c>
      <c r="B18" s="149" t="n"/>
      <c r="C18" s="149" t="n"/>
      <c r="D18" s="149" t="n"/>
      <c r="E18" s="149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</row>
    <row r="19">
      <c r="A19" s="122" t="inlineStr">
        <is>
          <t xml:space="preserve">    处置固定资产、无形资产和其他长期资产收回的现金净额</t>
        </is>
      </c>
      <c r="B19" s="149" t="n"/>
      <c r="C19" s="149" t="n"/>
      <c r="D19" s="149" t="n"/>
      <c r="E19" s="149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</row>
    <row r="20">
      <c r="A20" s="122" t="inlineStr">
        <is>
          <t xml:space="preserve">    处置子公司及其他营业单位收到的现金净额</t>
        </is>
      </c>
      <c r="B20" s="149" t="n"/>
      <c r="C20" s="149" t="n"/>
      <c r="D20" s="149" t="n"/>
      <c r="E20" s="149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</row>
    <row r="21">
      <c r="A21" s="122" t="inlineStr">
        <is>
          <t xml:space="preserve">    收到其他与投资活动有关的现金</t>
        </is>
      </c>
      <c r="B21" s="149" t="n"/>
      <c r="C21" s="149" t="n"/>
      <c r="D21" s="149" t="n"/>
      <c r="E21" s="149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</row>
    <row r="22">
      <c r="A22" s="122" t="inlineStr">
        <is>
          <t>投资活动现金流入小计</t>
        </is>
      </c>
      <c r="B22" s="151">
        <f>SUM(B17:B21)</f>
        <v/>
      </c>
      <c r="C22" s="151">
        <f>SUM(C17:C21)</f>
        <v/>
      </c>
      <c r="D22" s="151">
        <f>SUM(D17:D21)</f>
        <v/>
      </c>
      <c r="E22" s="151">
        <f>SUM(E17:E21)</f>
        <v/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</row>
    <row r="23">
      <c r="A23" s="122" t="inlineStr">
        <is>
          <t xml:space="preserve">    购建固定资产、无形资产和其他长期资产支付的现金</t>
        </is>
      </c>
      <c r="B23" s="149" t="n"/>
      <c r="C23" s="149" t="n"/>
      <c r="D23" s="149" t="n"/>
      <c r="E23" s="149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</row>
    <row r="24">
      <c r="A24" s="122" t="inlineStr">
        <is>
          <t xml:space="preserve">    投资支付的现金</t>
        </is>
      </c>
      <c r="B24" s="149" t="n"/>
      <c r="C24" s="149" t="n"/>
      <c r="D24" s="149" t="n"/>
      <c r="E24" s="149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</row>
    <row r="25">
      <c r="A25" s="122" t="inlineStr">
        <is>
          <t xml:space="preserve">    取得子公司及其他营业单位支付的现金净额</t>
        </is>
      </c>
      <c r="B25" s="149" t="n"/>
      <c r="C25" s="149" t="n"/>
      <c r="D25" s="149" t="n"/>
      <c r="E25" s="149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</row>
    <row r="26">
      <c r="A26" s="122" t="inlineStr">
        <is>
          <t xml:space="preserve">    支付其他与投资活动有关的现金</t>
        </is>
      </c>
      <c r="B26" s="149" t="n"/>
      <c r="C26" s="149" t="n"/>
      <c r="D26" s="149" t="n"/>
      <c r="E26" s="149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</row>
    <row r="27">
      <c r="A27" s="122" t="inlineStr">
        <is>
          <t>投资活动现金流出小计</t>
        </is>
      </c>
      <c r="B27" s="151">
        <f>SUM(B23:B26)</f>
        <v/>
      </c>
      <c r="C27" s="151">
        <f>SUM(C23:C26)</f>
        <v/>
      </c>
      <c r="D27" s="151">
        <f>SUM(D23:D26)</f>
        <v/>
      </c>
      <c r="E27" s="151">
        <f>SUM(E23:E26)</f>
        <v/>
      </c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</row>
    <row r="28">
      <c r="A28" s="136" t="inlineStr">
        <is>
          <t>投资活动产生的现金流量净额</t>
        </is>
      </c>
      <c r="B28" s="150">
        <f>B22-B27</f>
        <v/>
      </c>
      <c r="C28" s="150">
        <f>C22-C27</f>
        <v/>
      </c>
      <c r="D28" s="150">
        <f>D22-D27</f>
        <v/>
      </c>
      <c r="E28" s="150">
        <f>E22-E27</f>
        <v/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</row>
    <row r="29">
      <c r="A29" s="122" t="inlineStr">
        <is>
          <t>三、筹资活动产生的现金流量：</t>
        </is>
      </c>
      <c r="B29" s="148" t="n"/>
      <c r="C29" s="148" t="n"/>
      <c r="D29" s="148" t="n"/>
      <c r="E29" s="148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</row>
    <row r="30">
      <c r="A30" s="122" t="inlineStr">
        <is>
          <t xml:space="preserve">    吸收投资收到的现金</t>
        </is>
      </c>
      <c r="B30" s="149" t="n"/>
      <c r="C30" s="149" t="n"/>
      <c r="D30" s="149" t="n"/>
      <c r="E30" s="149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</row>
    <row r="31">
      <c r="A31" s="122" t="inlineStr">
        <is>
          <t xml:space="preserve">    取得借款收到的现金</t>
        </is>
      </c>
      <c r="B31" s="149" t="n"/>
      <c r="C31" s="149" t="n"/>
      <c r="D31" s="149" t="n"/>
      <c r="E31" s="149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</row>
    <row r="32">
      <c r="A32" s="122" t="inlineStr">
        <is>
          <t xml:space="preserve">    收到其他与筹资活动有关的现金</t>
        </is>
      </c>
      <c r="B32" s="149" t="n"/>
      <c r="C32" s="149" t="n"/>
      <c r="D32" s="149" t="n"/>
      <c r="E32" s="149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</row>
    <row r="33">
      <c r="A33" s="122" t="inlineStr">
        <is>
          <t>筹资活动现金流入小计</t>
        </is>
      </c>
      <c r="B33" s="151">
        <f>SUM(B30:B32)</f>
        <v/>
      </c>
      <c r="C33" s="151">
        <f>SUM(C30:C32)</f>
        <v/>
      </c>
      <c r="D33" s="151">
        <f>SUM(D30:D32)</f>
        <v/>
      </c>
      <c r="E33" s="151">
        <f>SUM(E30:E32)</f>
        <v/>
      </c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</row>
    <row r="34">
      <c r="A34" s="122" t="inlineStr">
        <is>
          <t xml:space="preserve">    偿还债务支付的现金</t>
        </is>
      </c>
      <c r="B34" s="149" t="n"/>
      <c r="C34" s="149" t="n"/>
      <c r="D34" s="149" t="n"/>
      <c r="E34" s="149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</row>
    <row r="35">
      <c r="A35" s="122" t="inlineStr">
        <is>
          <t xml:space="preserve">    分配股利、利润或偿付利息支付的现金</t>
        </is>
      </c>
      <c r="B35" s="149" t="n"/>
      <c r="C35" s="149" t="n"/>
      <c r="D35" s="149" t="n"/>
      <c r="E35" s="149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</row>
    <row r="36">
      <c r="A36" s="122" t="inlineStr">
        <is>
          <t xml:space="preserve">    支付其他与筹资活动有关的现金</t>
        </is>
      </c>
      <c r="B36" s="149" t="n"/>
      <c r="C36" s="149" t="n"/>
      <c r="D36" s="149" t="n"/>
      <c r="E36" s="149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</row>
    <row r="37">
      <c r="A37" s="122" t="inlineStr">
        <is>
          <t>筹资活动现金流出小计</t>
        </is>
      </c>
      <c r="B37" s="151">
        <f>SUM(B34:B36)</f>
        <v/>
      </c>
      <c r="C37" s="151">
        <f>SUM(C34:C36)</f>
        <v/>
      </c>
      <c r="D37" s="151">
        <f>SUM(D34:D36)</f>
        <v/>
      </c>
      <c r="E37" s="151">
        <f>SUM(E34:E36)</f>
        <v/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</row>
    <row r="38">
      <c r="A38" s="136" t="inlineStr">
        <is>
          <t>筹资活动产生的现金流量净额</t>
        </is>
      </c>
      <c r="B38" s="150">
        <f>B33-B37</f>
        <v/>
      </c>
      <c r="C38" s="150">
        <f>C33-C37</f>
        <v/>
      </c>
      <c r="D38" s="150">
        <f>D33-D37</f>
        <v/>
      </c>
      <c r="E38" s="150">
        <f>E33-E37</f>
        <v/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</row>
    <row r="39">
      <c r="A39" s="136" t="inlineStr">
        <is>
          <t>四、汇率变动对现金及现金等价物的影响</t>
        </is>
      </c>
      <c r="B39" s="153" t="n"/>
      <c r="C39" s="153" t="n"/>
      <c r="D39" s="153" t="n"/>
      <c r="E39" s="153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</row>
    <row r="40">
      <c r="A40" s="136" t="inlineStr">
        <is>
          <t>五、现金及现金等价物净增加额</t>
        </is>
      </c>
      <c r="B40" s="150">
        <f>B15+B28+B38+B39</f>
        <v/>
      </c>
      <c r="C40" s="150">
        <f>C15+C28+C38+C39</f>
        <v/>
      </c>
      <c r="D40" s="150">
        <f>D15+D28+D38+D39</f>
        <v/>
      </c>
      <c r="E40" s="150">
        <f>E15+E28+E38+E39</f>
        <v/>
      </c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</row>
    <row r="41">
      <c r="A41" s="122" t="inlineStr">
        <is>
          <t xml:space="preserve">    加：期初现金及现金等价物余额</t>
        </is>
      </c>
      <c r="B41" s="149" t="n"/>
      <c r="C41" s="149" t="n"/>
      <c r="D41" s="149" t="n"/>
      <c r="E41" s="149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</row>
    <row r="42">
      <c r="A42" s="136" t="inlineStr">
        <is>
          <t>六、期末现金及现金等价物余额</t>
        </is>
      </c>
      <c r="B42" s="150">
        <f>B41+B40</f>
        <v/>
      </c>
      <c r="C42" s="150">
        <f>C41+C40</f>
        <v/>
      </c>
      <c r="D42" s="150">
        <f>D41+D40</f>
        <v/>
      </c>
      <c r="E42" s="150">
        <f>E41+E40</f>
        <v/>
      </c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2">
    <mergeCell ref="A2:E2"/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pane xSplit="1" ySplit="5" topLeftCell="I90" activePane="bottomRight" state="frozen"/>
      <selection pane="topRight" activeCell="A1" sqref="A1"/>
      <selection pane="bottomLeft" activeCell="A1" sqref="A1"/>
      <selection pane="bottomRight" activeCell="L67" sqref="L67"/>
    </sheetView>
  </sheetViews>
  <sheetFormatPr baseColWidth="8" defaultColWidth="9.109375" defaultRowHeight="14.4"/>
  <cols>
    <col width="35" customWidth="1" style="1" min="1" max="1"/>
    <col width="15" customWidth="1" style="1" min="2" max="14"/>
    <col width="9.109375" customWidth="1" style="1" min="15" max="15"/>
    <col width="9.109375" customWidth="1" style="1" min="16" max="16384"/>
  </cols>
  <sheetData>
    <row r="1" ht="17.4" customHeight="1">
      <c r="A1" s="119" t="inlineStr">
        <is>
          <t>历史资产负债分析调整表</t>
        </is>
      </c>
      <c r="O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N3" s="3">
        <f>"金额单位："&amp;项目信息!B8&amp;""</f>
        <v/>
      </c>
    </row>
    <row r="4">
      <c r="A4" s="121" t="inlineStr">
        <is>
          <t>项目\年份</t>
        </is>
      </c>
      <c r="B4" s="121" t="inlineStr">
        <is>
          <t>2022年度</t>
        </is>
      </c>
      <c r="C4" s="154" t="n"/>
      <c r="D4" s="155" t="n"/>
      <c r="E4" s="121" t="inlineStr">
        <is>
          <t>2023年度</t>
        </is>
      </c>
      <c r="F4" s="154" t="n"/>
      <c r="G4" s="155" t="n"/>
      <c r="H4" s="121" t="inlineStr">
        <is>
          <t>2024年度</t>
        </is>
      </c>
      <c r="I4" s="154" t="n"/>
      <c r="J4" s="155" t="n"/>
      <c r="K4" s="121" t="inlineStr">
        <is>
          <t>2025年1-6月</t>
        </is>
      </c>
      <c r="L4" s="154" t="n"/>
      <c r="M4" s="155" t="n"/>
      <c r="N4" s="121" t="inlineStr">
        <is>
          <t>调整分析说明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</row>
    <row r="5" ht="43.2" customHeight="1">
      <c r="A5" s="147" t="n"/>
      <c r="B5" s="67" t="inlineStr">
        <is>
          <t>账面值/审定值</t>
        </is>
      </c>
      <c r="C5" s="67" t="inlineStr">
        <is>
          <t>其中：非经营性资产，或者重分类调整</t>
        </is>
      </c>
      <c r="D5" s="67" t="inlineStr">
        <is>
          <t>调整后经营性资产</t>
        </is>
      </c>
      <c r="E5" s="67" t="inlineStr">
        <is>
          <t>账面值/审定值</t>
        </is>
      </c>
      <c r="F5" s="67" t="inlineStr">
        <is>
          <t>其中：非经营性资产，或者重分类调整</t>
        </is>
      </c>
      <c r="G5" s="67" t="inlineStr">
        <is>
          <t>调整后经营性资产</t>
        </is>
      </c>
      <c r="H5" s="67" t="inlineStr">
        <is>
          <t>账面值/审定值</t>
        </is>
      </c>
      <c r="I5" s="67" t="inlineStr">
        <is>
          <t>其中：非经营性资产，或者重分类调整</t>
        </is>
      </c>
      <c r="J5" s="67" t="inlineStr">
        <is>
          <t>调整后经营性资产</t>
        </is>
      </c>
      <c r="K5" s="67" t="inlineStr">
        <is>
          <t>账面值/审定值</t>
        </is>
      </c>
      <c r="L5" s="67" t="inlineStr">
        <is>
          <t>其中：非经营性资产，或者重分类调整</t>
        </is>
      </c>
      <c r="M5" s="67" t="inlineStr">
        <is>
          <t>调整后经营性资产</t>
        </is>
      </c>
      <c r="N5" s="147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</row>
    <row r="6">
      <c r="A6" s="122">
        <f>历资表!A6</f>
        <v/>
      </c>
      <c r="B6" s="148" t="n"/>
      <c r="C6" s="148" t="n"/>
      <c r="D6" s="148" t="n"/>
      <c r="E6" s="148" t="n"/>
      <c r="F6" s="148" t="n"/>
      <c r="G6" s="148" t="n"/>
      <c r="H6" s="148" t="n"/>
      <c r="I6" s="148" t="n"/>
      <c r="J6" s="148" t="n"/>
      <c r="K6" s="148" t="n"/>
      <c r="L6" s="148" t="n"/>
      <c r="M6" s="148" t="n"/>
      <c r="N6" s="148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</row>
    <row r="7">
      <c r="A7" s="122">
        <f>历资表!A7</f>
        <v/>
      </c>
      <c r="B7" s="156">
        <f>历资表!B7</f>
        <v/>
      </c>
      <c r="C7" s="149" t="n"/>
      <c r="D7" s="151">
        <f>B7-C7</f>
        <v/>
      </c>
      <c r="E7" s="156">
        <f>历资表!C7</f>
        <v/>
      </c>
      <c r="F7" s="149" t="n"/>
      <c r="G7" s="151">
        <f>E7-F7</f>
        <v/>
      </c>
      <c r="H7" s="156">
        <f>历资表!D7</f>
        <v/>
      </c>
      <c r="I7" s="149" t="n"/>
      <c r="J7" s="151">
        <f>H7-I7</f>
        <v/>
      </c>
      <c r="K7" s="156">
        <f>历资表!E7</f>
        <v/>
      </c>
      <c r="L7" s="149" t="n"/>
      <c r="M7" s="151">
        <f>K7-L7</f>
        <v/>
      </c>
      <c r="N7" s="149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</row>
    <row r="8">
      <c r="A8" s="122">
        <f>历资表!A8</f>
        <v/>
      </c>
      <c r="B8" s="156">
        <f>历资表!B8</f>
        <v/>
      </c>
      <c r="C8" s="149" t="n"/>
      <c r="D8" s="151">
        <f>B8-C8</f>
        <v/>
      </c>
      <c r="E8" s="156">
        <f>历资表!C8</f>
        <v/>
      </c>
      <c r="F8" s="149" t="n"/>
      <c r="G8" s="151">
        <f>E8-F8</f>
        <v/>
      </c>
      <c r="H8" s="156">
        <f>历资表!D8</f>
        <v/>
      </c>
      <c r="I8" s="149" t="n"/>
      <c r="J8" s="151">
        <f>H8-I8</f>
        <v/>
      </c>
      <c r="K8" s="156">
        <f>历资表!E8</f>
        <v/>
      </c>
      <c r="L8" s="149" t="n"/>
      <c r="M8" s="151">
        <f>K8-L8</f>
        <v/>
      </c>
      <c r="N8" s="149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</row>
    <row r="9">
      <c r="A9" s="122">
        <f>历资表!A9</f>
        <v/>
      </c>
      <c r="B9" s="156">
        <f>历资表!B9</f>
        <v/>
      </c>
      <c r="C9" s="149" t="n"/>
      <c r="D9" s="151">
        <f>B9-C9</f>
        <v/>
      </c>
      <c r="E9" s="156">
        <f>历资表!C9</f>
        <v/>
      </c>
      <c r="F9" s="149" t="n"/>
      <c r="G9" s="151">
        <f>E9-F9</f>
        <v/>
      </c>
      <c r="H9" s="156">
        <f>历资表!D9</f>
        <v/>
      </c>
      <c r="I9" s="149" t="n"/>
      <c r="J9" s="151">
        <f>H9-I9</f>
        <v/>
      </c>
      <c r="K9" s="156">
        <f>历资表!E9</f>
        <v/>
      </c>
      <c r="L9" s="149" t="n"/>
      <c r="M9" s="151">
        <f>K9-L9</f>
        <v/>
      </c>
      <c r="N9" s="149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</row>
    <row r="10">
      <c r="A10" s="122">
        <f>历资表!A10</f>
        <v/>
      </c>
      <c r="B10" s="156">
        <f>历资表!B10</f>
        <v/>
      </c>
      <c r="C10" s="149" t="n"/>
      <c r="D10" s="151">
        <f>B10-C10</f>
        <v/>
      </c>
      <c r="E10" s="156">
        <f>历资表!C10</f>
        <v/>
      </c>
      <c r="F10" s="149" t="n"/>
      <c r="G10" s="151">
        <f>E10-F10</f>
        <v/>
      </c>
      <c r="H10" s="156">
        <f>历资表!D10</f>
        <v/>
      </c>
      <c r="I10" s="149" t="n"/>
      <c r="J10" s="151">
        <f>H10-I10</f>
        <v/>
      </c>
      <c r="K10" s="156">
        <f>历资表!E10</f>
        <v/>
      </c>
      <c r="L10" s="149" t="n"/>
      <c r="M10" s="151">
        <f>K10-L10</f>
        <v/>
      </c>
      <c r="N10" s="149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</row>
    <row r="11">
      <c r="A11" s="122">
        <f>历资表!A11</f>
        <v/>
      </c>
      <c r="B11" s="156">
        <f>历资表!B11</f>
        <v/>
      </c>
      <c r="C11" s="149" t="n"/>
      <c r="D11" s="151">
        <f>B11-C11</f>
        <v/>
      </c>
      <c r="E11" s="156">
        <f>历资表!C11</f>
        <v/>
      </c>
      <c r="F11" s="149" t="n"/>
      <c r="G11" s="151">
        <f>E11-F11</f>
        <v/>
      </c>
      <c r="H11" s="156">
        <f>历资表!D11</f>
        <v/>
      </c>
      <c r="I11" s="149" t="n"/>
      <c r="J11" s="151">
        <f>H11-I11</f>
        <v/>
      </c>
      <c r="K11" s="156">
        <f>历资表!E11</f>
        <v/>
      </c>
      <c r="L11" s="149" t="n"/>
      <c r="M11" s="151">
        <f>K11-L11</f>
        <v/>
      </c>
      <c r="N11" s="149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</row>
    <row r="12">
      <c r="A12" s="122">
        <f>历资表!A12</f>
        <v/>
      </c>
      <c r="B12" s="156">
        <f>历资表!B12</f>
        <v/>
      </c>
      <c r="C12" s="149" t="n"/>
      <c r="D12" s="151">
        <f>B12-C12</f>
        <v/>
      </c>
      <c r="E12" s="156">
        <f>历资表!C12</f>
        <v/>
      </c>
      <c r="F12" s="149" t="n"/>
      <c r="G12" s="151">
        <f>E12-F12</f>
        <v/>
      </c>
      <c r="H12" s="156">
        <f>历资表!D12</f>
        <v/>
      </c>
      <c r="I12" s="149" t="n"/>
      <c r="J12" s="151">
        <f>H12-I12</f>
        <v/>
      </c>
      <c r="K12" s="156">
        <f>历资表!E12</f>
        <v/>
      </c>
      <c r="L12" s="149" t="n"/>
      <c r="M12" s="151">
        <f>K12-L12</f>
        <v/>
      </c>
      <c r="N12" s="149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</row>
    <row r="13">
      <c r="A13" s="122">
        <f>历资表!A13</f>
        <v/>
      </c>
      <c r="B13" s="156">
        <f>历资表!B13</f>
        <v/>
      </c>
      <c r="C13" s="149" t="n"/>
      <c r="D13" s="151">
        <f>B13-C13</f>
        <v/>
      </c>
      <c r="E13" s="156">
        <f>历资表!C13</f>
        <v/>
      </c>
      <c r="F13" s="149" t="n"/>
      <c r="G13" s="151">
        <f>E13-F13</f>
        <v/>
      </c>
      <c r="H13" s="156">
        <f>历资表!D13</f>
        <v/>
      </c>
      <c r="I13" s="149" t="n"/>
      <c r="J13" s="151">
        <f>H13-I13</f>
        <v/>
      </c>
      <c r="K13" s="156">
        <f>历资表!E13</f>
        <v/>
      </c>
      <c r="L13" s="149" t="n"/>
      <c r="M13" s="151">
        <f>K13-L13</f>
        <v/>
      </c>
      <c r="N13" s="149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</row>
    <row r="14">
      <c r="A14" s="122">
        <f>历资表!A14</f>
        <v/>
      </c>
      <c r="B14" s="156">
        <f>历资表!B14</f>
        <v/>
      </c>
      <c r="C14" s="149" t="n"/>
      <c r="D14" s="151">
        <f>B14-C14</f>
        <v/>
      </c>
      <c r="E14" s="156">
        <f>历资表!C14</f>
        <v/>
      </c>
      <c r="F14" s="149" t="n"/>
      <c r="G14" s="151">
        <f>E14-F14</f>
        <v/>
      </c>
      <c r="H14" s="156">
        <f>历资表!D14</f>
        <v/>
      </c>
      <c r="I14" s="149" t="n"/>
      <c r="J14" s="151">
        <f>H14-I14</f>
        <v/>
      </c>
      <c r="K14" s="156">
        <f>历资表!E14</f>
        <v/>
      </c>
      <c r="L14" s="149" t="n"/>
      <c r="M14" s="151">
        <f>K14-L14</f>
        <v/>
      </c>
      <c r="N14" s="149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</row>
    <row r="15">
      <c r="A15" s="122">
        <f>历资表!A15</f>
        <v/>
      </c>
      <c r="B15" s="156">
        <f>历资表!B15</f>
        <v/>
      </c>
      <c r="C15" s="149" t="n"/>
      <c r="D15" s="151">
        <f>B15-C15</f>
        <v/>
      </c>
      <c r="E15" s="156">
        <f>历资表!C15</f>
        <v/>
      </c>
      <c r="F15" s="149" t="n"/>
      <c r="G15" s="151">
        <f>E15-F15</f>
        <v/>
      </c>
      <c r="H15" s="156">
        <f>历资表!D15</f>
        <v/>
      </c>
      <c r="I15" s="149" t="n"/>
      <c r="J15" s="151">
        <f>H15-I15</f>
        <v/>
      </c>
      <c r="K15" s="156">
        <f>历资表!E15</f>
        <v/>
      </c>
      <c r="L15" s="149" t="n"/>
      <c r="M15" s="151">
        <f>K15-L15</f>
        <v/>
      </c>
      <c r="N15" s="149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</row>
    <row r="16">
      <c r="A16" s="122">
        <f>历资表!A16</f>
        <v/>
      </c>
      <c r="B16" s="156">
        <f>历资表!B16</f>
        <v/>
      </c>
      <c r="C16" s="149" t="n"/>
      <c r="D16" s="151">
        <f>B16-C16</f>
        <v/>
      </c>
      <c r="E16" s="156">
        <f>历资表!C16</f>
        <v/>
      </c>
      <c r="F16" s="149" t="n"/>
      <c r="G16" s="151">
        <f>E16-F16</f>
        <v/>
      </c>
      <c r="H16" s="156">
        <f>历资表!D16</f>
        <v/>
      </c>
      <c r="I16" s="149" t="n"/>
      <c r="J16" s="151">
        <f>H16-I16</f>
        <v/>
      </c>
      <c r="K16" s="156">
        <f>历资表!E16</f>
        <v/>
      </c>
      <c r="L16" s="149" t="n"/>
      <c r="M16" s="151">
        <f>K16-L16</f>
        <v/>
      </c>
      <c r="N16" s="149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</row>
    <row r="17">
      <c r="A17" s="122">
        <f>历资表!A17</f>
        <v/>
      </c>
      <c r="B17" s="156">
        <f>历资表!B17</f>
        <v/>
      </c>
      <c r="C17" s="149" t="n"/>
      <c r="D17" s="151">
        <f>B17-C17</f>
        <v/>
      </c>
      <c r="E17" s="156">
        <f>历资表!C17</f>
        <v/>
      </c>
      <c r="F17" s="149" t="n"/>
      <c r="G17" s="151">
        <f>E17-F17</f>
        <v/>
      </c>
      <c r="H17" s="156">
        <f>历资表!D17</f>
        <v/>
      </c>
      <c r="I17" s="149" t="n"/>
      <c r="J17" s="151">
        <f>H17-I17</f>
        <v/>
      </c>
      <c r="K17" s="156">
        <f>历资表!E17</f>
        <v/>
      </c>
      <c r="L17" s="149" t="n"/>
      <c r="M17" s="151">
        <f>K17-L17</f>
        <v/>
      </c>
      <c r="N17" s="149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</row>
    <row r="18">
      <c r="A18" s="122">
        <f>历资表!A18</f>
        <v/>
      </c>
      <c r="B18" s="156">
        <f>历资表!B18</f>
        <v/>
      </c>
      <c r="C18" s="149" t="n"/>
      <c r="D18" s="151">
        <f>B18-C18</f>
        <v/>
      </c>
      <c r="E18" s="156">
        <f>历资表!C18</f>
        <v/>
      </c>
      <c r="F18" s="149" t="n"/>
      <c r="G18" s="151">
        <f>E18-F18</f>
        <v/>
      </c>
      <c r="H18" s="156">
        <f>历资表!D18</f>
        <v/>
      </c>
      <c r="I18" s="149" t="n"/>
      <c r="J18" s="151">
        <f>H18-I18</f>
        <v/>
      </c>
      <c r="K18" s="156">
        <f>历资表!E18</f>
        <v/>
      </c>
      <c r="L18" s="149" t="n"/>
      <c r="M18" s="151">
        <f>K18-L18</f>
        <v/>
      </c>
      <c r="N18" s="149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</row>
    <row r="19">
      <c r="A19" s="122">
        <f>历资表!A19</f>
        <v/>
      </c>
      <c r="B19" s="156">
        <f>历资表!B19</f>
        <v/>
      </c>
      <c r="C19" s="149" t="n"/>
      <c r="D19" s="151">
        <f>B19-C19</f>
        <v/>
      </c>
      <c r="E19" s="156">
        <f>历资表!C19</f>
        <v/>
      </c>
      <c r="F19" s="149" t="n"/>
      <c r="G19" s="151">
        <f>E19-F19</f>
        <v/>
      </c>
      <c r="H19" s="156">
        <f>历资表!D19</f>
        <v/>
      </c>
      <c r="I19" s="149" t="n"/>
      <c r="J19" s="151">
        <f>H19-I19</f>
        <v/>
      </c>
      <c r="K19" s="156">
        <f>历资表!E19</f>
        <v/>
      </c>
      <c r="L19" s="149">
        <f>K19</f>
        <v/>
      </c>
      <c r="M19" s="151">
        <f>K19-L19</f>
        <v/>
      </c>
      <c r="N19" s="149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</row>
    <row r="20">
      <c r="A20" s="122">
        <f>历资表!A20</f>
        <v/>
      </c>
      <c r="B20" s="156">
        <f>历资表!B20</f>
        <v/>
      </c>
      <c r="C20" s="149" t="n"/>
      <c r="D20" s="151">
        <f>B20-C20</f>
        <v/>
      </c>
      <c r="E20" s="156">
        <f>历资表!C20</f>
        <v/>
      </c>
      <c r="F20" s="149" t="n"/>
      <c r="G20" s="151">
        <f>E20-F20</f>
        <v/>
      </c>
      <c r="H20" s="156">
        <f>历资表!D20</f>
        <v/>
      </c>
      <c r="I20" s="149" t="n"/>
      <c r="J20" s="151">
        <f>H20-I20</f>
        <v/>
      </c>
      <c r="K20" s="156">
        <f>历资表!E20</f>
        <v/>
      </c>
      <c r="L20" s="149" t="n"/>
      <c r="M20" s="151">
        <f>K20-L20</f>
        <v/>
      </c>
      <c r="N20" s="149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</row>
    <row r="21">
      <c r="A21" s="122">
        <f>历资表!A21</f>
        <v/>
      </c>
      <c r="B21" s="156">
        <f>历资表!B21</f>
        <v/>
      </c>
      <c r="C21" s="149" t="n"/>
      <c r="D21" s="151">
        <f>B21-C21</f>
        <v/>
      </c>
      <c r="E21" s="156">
        <f>历资表!C21</f>
        <v/>
      </c>
      <c r="F21" s="149" t="n"/>
      <c r="G21" s="151">
        <f>E21-F21</f>
        <v/>
      </c>
      <c r="H21" s="156">
        <f>历资表!D21</f>
        <v/>
      </c>
      <c r="I21" s="149" t="n"/>
      <c r="J21" s="151">
        <f>H21-I21</f>
        <v/>
      </c>
      <c r="K21" s="156">
        <f>历资表!E21</f>
        <v/>
      </c>
      <c r="L21" s="149" t="n"/>
      <c r="M21" s="151">
        <f>K21-L21</f>
        <v/>
      </c>
      <c r="N21" s="149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</row>
    <row r="22">
      <c r="A22" s="122">
        <f>历资表!A22</f>
        <v/>
      </c>
      <c r="B22" s="156">
        <f>历资表!B22</f>
        <v/>
      </c>
      <c r="C22" s="149" t="n"/>
      <c r="D22" s="151">
        <f>B22-C22</f>
        <v/>
      </c>
      <c r="E22" s="156">
        <f>历资表!C22</f>
        <v/>
      </c>
      <c r="F22" s="149" t="n"/>
      <c r="G22" s="151">
        <f>E22-F22</f>
        <v/>
      </c>
      <c r="H22" s="156">
        <f>历资表!D22</f>
        <v/>
      </c>
      <c r="I22" s="149" t="n"/>
      <c r="J22" s="151">
        <f>H22-I22</f>
        <v/>
      </c>
      <c r="K22" s="156">
        <f>历资表!E22</f>
        <v/>
      </c>
      <c r="L22" s="149" t="n"/>
      <c r="M22" s="151">
        <f>K22-L22</f>
        <v/>
      </c>
      <c r="N22" s="149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</row>
    <row r="23">
      <c r="A23" s="122">
        <f>历资表!A23</f>
        <v/>
      </c>
      <c r="B23" s="156">
        <f>历资表!B23</f>
        <v/>
      </c>
      <c r="C23" s="149" t="n"/>
      <c r="D23" s="151">
        <f>B23-C23</f>
        <v/>
      </c>
      <c r="E23" s="156">
        <f>历资表!C23</f>
        <v/>
      </c>
      <c r="F23" s="149" t="n"/>
      <c r="G23" s="151">
        <f>E23-F23</f>
        <v/>
      </c>
      <c r="H23" s="156">
        <f>历资表!D23</f>
        <v/>
      </c>
      <c r="I23" s="149" t="n"/>
      <c r="J23" s="151">
        <f>H23-I23</f>
        <v/>
      </c>
      <c r="K23" s="156">
        <f>历资表!E23</f>
        <v/>
      </c>
      <c r="L23" s="149" t="n"/>
      <c r="M23" s="151">
        <f>K23-L23</f>
        <v/>
      </c>
      <c r="N23" s="149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</row>
    <row r="24">
      <c r="A24" s="122">
        <f>历资表!A24</f>
        <v/>
      </c>
      <c r="B24" s="156">
        <f>历资表!B24</f>
        <v/>
      </c>
      <c r="C24" s="149" t="n"/>
      <c r="D24" s="151">
        <f>B24-C24</f>
        <v/>
      </c>
      <c r="E24" s="156">
        <f>历资表!C24</f>
        <v/>
      </c>
      <c r="F24" s="149" t="n"/>
      <c r="G24" s="151">
        <f>E24-F24</f>
        <v/>
      </c>
      <c r="H24" s="156">
        <f>历资表!D24</f>
        <v/>
      </c>
      <c r="I24" s="149" t="n"/>
      <c r="J24" s="151">
        <f>H24-I24</f>
        <v/>
      </c>
      <c r="K24" s="156">
        <f>历资表!E24</f>
        <v/>
      </c>
      <c r="L24" s="149" t="n"/>
      <c r="M24" s="151">
        <f>K24-L24</f>
        <v/>
      </c>
      <c r="N24" s="149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</row>
    <row r="25">
      <c r="A25" s="122">
        <f>历资表!A25</f>
        <v/>
      </c>
      <c r="B25" s="156">
        <f>历资表!B25</f>
        <v/>
      </c>
      <c r="C25" s="149" t="n"/>
      <c r="D25" s="151">
        <f>B25-C25</f>
        <v/>
      </c>
      <c r="E25" s="156">
        <f>历资表!C25</f>
        <v/>
      </c>
      <c r="F25" s="149" t="n"/>
      <c r="G25" s="151">
        <f>E25-F25</f>
        <v/>
      </c>
      <c r="H25" s="156">
        <f>历资表!D25</f>
        <v/>
      </c>
      <c r="I25" s="149" t="n"/>
      <c r="J25" s="151">
        <f>H25-I25</f>
        <v/>
      </c>
      <c r="K25" s="156">
        <f>历资表!E25</f>
        <v/>
      </c>
      <c r="L25" s="149" t="n"/>
      <c r="M25" s="151">
        <f>K25-L25</f>
        <v/>
      </c>
      <c r="N25" s="149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</row>
    <row r="26">
      <c r="A26" s="136">
        <f>历资表!A26</f>
        <v/>
      </c>
      <c r="B26" s="157">
        <f>历资表!B26</f>
        <v/>
      </c>
      <c r="C26" s="157">
        <f>SUM(C7:C25)</f>
        <v/>
      </c>
      <c r="D26" s="150">
        <f>B26-C26</f>
        <v/>
      </c>
      <c r="E26" s="157">
        <f>历资表!C26</f>
        <v/>
      </c>
      <c r="F26" s="157">
        <f>SUM(F7:F25)</f>
        <v/>
      </c>
      <c r="G26" s="150">
        <f>E26-F26</f>
        <v/>
      </c>
      <c r="H26" s="157">
        <f>历资表!D26</f>
        <v/>
      </c>
      <c r="I26" s="157">
        <f>SUM(I7:I25)</f>
        <v/>
      </c>
      <c r="J26" s="150">
        <f>H26-I26</f>
        <v/>
      </c>
      <c r="K26" s="157">
        <f>历资表!E26</f>
        <v/>
      </c>
      <c r="L26" s="157">
        <f>SUM(L7:L25)</f>
        <v/>
      </c>
      <c r="M26" s="150">
        <f>K26-L26</f>
        <v/>
      </c>
      <c r="N26" s="153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</row>
    <row r="27">
      <c r="A27" s="122">
        <f>历资表!A27</f>
        <v/>
      </c>
      <c r="B27" s="148" t="n"/>
      <c r="C27" s="148" t="n"/>
      <c r="D27" s="148" t="n"/>
      <c r="E27" s="148" t="n"/>
      <c r="F27" s="148" t="n"/>
      <c r="G27" s="148" t="n"/>
      <c r="H27" s="148" t="n"/>
      <c r="I27" s="148" t="n"/>
      <c r="J27" s="148" t="n"/>
      <c r="K27" s="148" t="n"/>
      <c r="L27" s="148" t="n"/>
      <c r="M27" s="148" t="n"/>
      <c r="N27" s="148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</row>
    <row r="28">
      <c r="A28" s="122">
        <f>历资表!A28</f>
        <v/>
      </c>
      <c r="B28" s="156">
        <f>历资表!B28</f>
        <v/>
      </c>
      <c r="C28" s="149" t="n"/>
      <c r="D28" s="151">
        <f>B28-C28</f>
        <v/>
      </c>
      <c r="E28" s="156">
        <f>历资表!C28</f>
        <v/>
      </c>
      <c r="F28" s="149" t="n"/>
      <c r="G28" s="151">
        <f>E28-F28</f>
        <v/>
      </c>
      <c r="H28" s="156">
        <f>历资表!D28</f>
        <v/>
      </c>
      <c r="I28" s="149" t="n"/>
      <c r="J28" s="151">
        <f>H28-I28</f>
        <v/>
      </c>
      <c r="K28" s="156">
        <f>历资表!E28</f>
        <v/>
      </c>
      <c r="L28" s="149" t="n"/>
      <c r="M28" s="151">
        <f>K28-L28</f>
        <v/>
      </c>
      <c r="N28" s="149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</row>
    <row r="29">
      <c r="A29" s="122">
        <f>历资表!A29</f>
        <v/>
      </c>
      <c r="B29" s="156">
        <f>历资表!B29</f>
        <v/>
      </c>
      <c r="C29" s="149" t="n"/>
      <c r="D29" s="151">
        <f>B29-C29</f>
        <v/>
      </c>
      <c r="E29" s="156">
        <f>历资表!C29</f>
        <v/>
      </c>
      <c r="F29" s="149" t="n"/>
      <c r="G29" s="151">
        <f>E29-F29</f>
        <v/>
      </c>
      <c r="H29" s="156">
        <f>历资表!D29</f>
        <v/>
      </c>
      <c r="I29" s="149" t="n"/>
      <c r="J29" s="151">
        <f>H29-I29</f>
        <v/>
      </c>
      <c r="K29" s="156">
        <f>历资表!E29</f>
        <v/>
      </c>
      <c r="L29" s="149" t="n"/>
      <c r="M29" s="151">
        <f>K29-L29</f>
        <v/>
      </c>
      <c r="N29" s="149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</row>
    <row r="30">
      <c r="A30" s="122">
        <f>历资表!A30</f>
        <v/>
      </c>
      <c r="B30" s="156">
        <f>历资表!B30</f>
        <v/>
      </c>
      <c r="C30" s="149" t="n"/>
      <c r="D30" s="151">
        <f>B30-C30</f>
        <v/>
      </c>
      <c r="E30" s="156">
        <f>历资表!C30</f>
        <v/>
      </c>
      <c r="F30" s="149" t="n"/>
      <c r="G30" s="151">
        <f>E30-F30</f>
        <v/>
      </c>
      <c r="H30" s="156">
        <f>历资表!D30</f>
        <v/>
      </c>
      <c r="I30" s="149" t="n"/>
      <c r="J30" s="151">
        <f>H30-I30</f>
        <v/>
      </c>
      <c r="K30" s="156">
        <f>历资表!E30</f>
        <v/>
      </c>
      <c r="L30" s="149" t="n"/>
      <c r="M30" s="151">
        <f>K30-L30</f>
        <v/>
      </c>
      <c r="N30" s="149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</row>
    <row r="31">
      <c r="A31" s="122">
        <f>历资表!A31</f>
        <v/>
      </c>
      <c r="B31" s="156">
        <f>历资表!B31</f>
        <v/>
      </c>
      <c r="C31" s="149" t="n"/>
      <c r="D31" s="151">
        <f>B31-C31</f>
        <v/>
      </c>
      <c r="E31" s="156">
        <f>历资表!C31</f>
        <v/>
      </c>
      <c r="F31" s="149" t="n"/>
      <c r="G31" s="151">
        <f>E31-F31</f>
        <v/>
      </c>
      <c r="H31" s="156">
        <f>历资表!D31</f>
        <v/>
      </c>
      <c r="I31" s="149" t="n"/>
      <c r="J31" s="151">
        <f>H31-I31</f>
        <v/>
      </c>
      <c r="K31" s="156">
        <f>历资表!E31</f>
        <v/>
      </c>
      <c r="L31" s="149" t="n"/>
      <c r="M31" s="151">
        <f>K31-L31</f>
        <v/>
      </c>
      <c r="N31" s="149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</row>
    <row r="32">
      <c r="A32" s="122">
        <f>历资表!A32</f>
        <v/>
      </c>
      <c r="B32" s="156">
        <f>历资表!B32</f>
        <v/>
      </c>
      <c r="C32" s="149" t="n"/>
      <c r="D32" s="151">
        <f>B32-C32</f>
        <v/>
      </c>
      <c r="E32" s="156">
        <f>历资表!C32</f>
        <v/>
      </c>
      <c r="F32" s="149" t="n"/>
      <c r="G32" s="151">
        <f>E32-F32</f>
        <v/>
      </c>
      <c r="H32" s="156">
        <f>历资表!D32</f>
        <v/>
      </c>
      <c r="I32" s="149" t="n"/>
      <c r="J32" s="151">
        <f>H32-I32</f>
        <v/>
      </c>
      <c r="K32" s="156">
        <f>历资表!E32</f>
        <v/>
      </c>
      <c r="L32" s="149">
        <f>K32</f>
        <v/>
      </c>
      <c r="M32" s="151">
        <f>K32-L32</f>
        <v/>
      </c>
      <c r="N32" s="149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</row>
    <row r="33">
      <c r="A33" s="122">
        <f>历资表!A33</f>
        <v/>
      </c>
      <c r="B33" s="156">
        <f>历资表!B33</f>
        <v/>
      </c>
      <c r="C33" s="149" t="n"/>
      <c r="D33" s="151">
        <f>B33-C33</f>
        <v/>
      </c>
      <c r="E33" s="156">
        <f>历资表!C33</f>
        <v/>
      </c>
      <c r="F33" s="149" t="n"/>
      <c r="G33" s="151">
        <f>E33-F33</f>
        <v/>
      </c>
      <c r="H33" s="156">
        <f>历资表!D33</f>
        <v/>
      </c>
      <c r="I33" s="149" t="n"/>
      <c r="J33" s="151">
        <f>H33-I33</f>
        <v/>
      </c>
      <c r="K33" s="156">
        <f>历资表!E33</f>
        <v/>
      </c>
      <c r="L33" s="149" t="n"/>
      <c r="M33" s="151">
        <f>K33-L33</f>
        <v/>
      </c>
      <c r="N33" s="149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</row>
    <row r="34">
      <c r="A34" s="122">
        <f>历资表!A34</f>
        <v/>
      </c>
      <c r="B34" s="156">
        <f>历资表!B34</f>
        <v/>
      </c>
      <c r="C34" s="149" t="n"/>
      <c r="D34" s="151">
        <f>B34-C34</f>
        <v/>
      </c>
      <c r="E34" s="156">
        <f>历资表!C34</f>
        <v/>
      </c>
      <c r="F34" s="149" t="n"/>
      <c r="G34" s="151">
        <f>E34-F34</f>
        <v/>
      </c>
      <c r="H34" s="156">
        <f>历资表!D34</f>
        <v/>
      </c>
      <c r="I34" s="149" t="n"/>
      <c r="J34" s="151">
        <f>H34-I34</f>
        <v/>
      </c>
      <c r="K34" s="156">
        <f>历资表!E34</f>
        <v/>
      </c>
      <c r="L34" s="149" t="n"/>
      <c r="M34" s="151">
        <f>K34-L34</f>
        <v/>
      </c>
      <c r="N34" s="149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</row>
    <row r="35">
      <c r="A35" s="122">
        <f>历资表!A35</f>
        <v/>
      </c>
      <c r="B35" s="156">
        <f>历资表!B35</f>
        <v/>
      </c>
      <c r="C35" s="149" t="n"/>
      <c r="D35" s="151">
        <f>B35-C35</f>
        <v/>
      </c>
      <c r="E35" s="156">
        <f>历资表!C35</f>
        <v/>
      </c>
      <c r="F35" s="149" t="n"/>
      <c r="G35" s="151">
        <f>E35-F35</f>
        <v/>
      </c>
      <c r="H35" s="156">
        <f>历资表!D35</f>
        <v/>
      </c>
      <c r="I35" s="149" t="n"/>
      <c r="J35" s="151">
        <f>H35-I35</f>
        <v/>
      </c>
      <c r="K35" s="156">
        <f>历资表!E35</f>
        <v/>
      </c>
      <c r="L35" s="149" t="n"/>
      <c r="M35" s="151">
        <f>K35-L35</f>
        <v/>
      </c>
      <c r="N35" s="149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</row>
    <row r="36">
      <c r="A36" s="122">
        <f>历资表!A36</f>
        <v/>
      </c>
      <c r="B36" s="156">
        <f>历资表!B36</f>
        <v/>
      </c>
      <c r="C36" s="149" t="n"/>
      <c r="D36" s="151">
        <f>B36-C36</f>
        <v/>
      </c>
      <c r="E36" s="156">
        <f>历资表!C36</f>
        <v/>
      </c>
      <c r="F36" s="149" t="n"/>
      <c r="G36" s="151">
        <f>E36-F36</f>
        <v/>
      </c>
      <c r="H36" s="156">
        <f>历资表!D36</f>
        <v/>
      </c>
      <c r="I36" s="149" t="n"/>
      <c r="J36" s="151">
        <f>H36-I36</f>
        <v/>
      </c>
      <c r="K36" s="156">
        <f>历资表!E36</f>
        <v/>
      </c>
      <c r="L36" s="149" t="n"/>
      <c r="M36" s="151">
        <f>K36-L36</f>
        <v/>
      </c>
      <c r="N36" s="149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</row>
    <row r="37">
      <c r="A37" s="122">
        <f>历资表!A37</f>
        <v/>
      </c>
      <c r="B37" s="156">
        <f>历资表!B37</f>
        <v/>
      </c>
      <c r="C37" s="149" t="n"/>
      <c r="D37" s="151">
        <f>B37-C37</f>
        <v/>
      </c>
      <c r="E37" s="156">
        <f>历资表!C37</f>
        <v/>
      </c>
      <c r="F37" s="149" t="n"/>
      <c r="G37" s="151">
        <f>E37-F37</f>
        <v/>
      </c>
      <c r="H37" s="156">
        <f>历资表!D37</f>
        <v/>
      </c>
      <c r="I37" s="149" t="n"/>
      <c r="J37" s="151">
        <f>H37-I37</f>
        <v/>
      </c>
      <c r="K37" s="156">
        <f>历资表!E37</f>
        <v/>
      </c>
      <c r="L37" s="149" t="n"/>
      <c r="M37" s="151">
        <f>K37-L37</f>
        <v/>
      </c>
      <c r="N37" s="149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</row>
    <row r="38">
      <c r="A38" s="122">
        <f>历资表!A38</f>
        <v/>
      </c>
      <c r="B38" s="156">
        <f>历资表!B38</f>
        <v/>
      </c>
      <c r="C38" s="149" t="n"/>
      <c r="D38" s="151">
        <f>B38-C38</f>
        <v/>
      </c>
      <c r="E38" s="156">
        <f>历资表!C38</f>
        <v/>
      </c>
      <c r="F38" s="149" t="n"/>
      <c r="G38" s="151">
        <f>E38-F38</f>
        <v/>
      </c>
      <c r="H38" s="156">
        <f>历资表!D38</f>
        <v/>
      </c>
      <c r="I38" s="149" t="n"/>
      <c r="J38" s="151">
        <f>H38-I38</f>
        <v/>
      </c>
      <c r="K38" s="156">
        <f>历资表!E38</f>
        <v/>
      </c>
      <c r="L38" s="149" t="n"/>
      <c r="M38" s="151">
        <f>K38-L38</f>
        <v/>
      </c>
      <c r="N38" s="149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</row>
    <row r="39">
      <c r="A39" s="122">
        <f>历资表!A39</f>
        <v/>
      </c>
      <c r="B39" s="156">
        <f>历资表!B39</f>
        <v/>
      </c>
      <c r="C39" s="149" t="n"/>
      <c r="D39" s="151">
        <f>B39-C39</f>
        <v/>
      </c>
      <c r="E39" s="156">
        <f>历资表!C39</f>
        <v/>
      </c>
      <c r="F39" s="149" t="n"/>
      <c r="G39" s="151">
        <f>E39-F39</f>
        <v/>
      </c>
      <c r="H39" s="156">
        <f>历资表!D39</f>
        <v/>
      </c>
      <c r="I39" s="149" t="n"/>
      <c r="J39" s="151">
        <f>H39-I39</f>
        <v/>
      </c>
      <c r="K39" s="156">
        <f>历资表!E39</f>
        <v/>
      </c>
      <c r="L39" s="149" t="n"/>
      <c r="M39" s="151">
        <f>K39-L39</f>
        <v/>
      </c>
      <c r="N39" s="149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</row>
    <row r="40">
      <c r="A40" s="122">
        <f>历资表!A40</f>
        <v/>
      </c>
      <c r="B40" s="156">
        <f>历资表!B40</f>
        <v/>
      </c>
      <c r="C40" s="149" t="n"/>
      <c r="D40" s="151">
        <f>B40-C40</f>
        <v/>
      </c>
      <c r="E40" s="156">
        <f>历资表!C40</f>
        <v/>
      </c>
      <c r="F40" s="149" t="n"/>
      <c r="G40" s="151">
        <f>E40-F40</f>
        <v/>
      </c>
      <c r="H40" s="156">
        <f>历资表!D40</f>
        <v/>
      </c>
      <c r="I40" s="149" t="n"/>
      <c r="J40" s="151">
        <f>H40-I40</f>
        <v/>
      </c>
      <c r="K40" s="156">
        <f>历资表!E40</f>
        <v/>
      </c>
      <c r="L40" s="149" t="n"/>
      <c r="M40" s="151">
        <f>K40-L40</f>
        <v/>
      </c>
      <c r="N40" s="149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</row>
    <row r="41">
      <c r="A41" s="122">
        <f>历资表!A41</f>
        <v/>
      </c>
      <c r="B41" s="156">
        <f>历资表!B41</f>
        <v/>
      </c>
      <c r="C41" s="149" t="n"/>
      <c r="D41" s="151">
        <f>B41-C41</f>
        <v/>
      </c>
      <c r="E41" s="156">
        <f>历资表!C41</f>
        <v/>
      </c>
      <c r="F41" s="149" t="n"/>
      <c r="G41" s="151">
        <f>E41-F41</f>
        <v/>
      </c>
      <c r="H41" s="156">
        <f>历资表!D41</f>
        <v/>
      </c>
      <c r="I41" s="149" t="n"/>
      <c r="J41" s="151">
        <f>H41-I41</f>
        <v/>
      </c>
      <c r="K41" s="156">
        <f>历资表!E41</f>
        <v/>
      </c>
      <c r="L41" s="149" t="n"/>
      <c r="M41" s="151">
        <f>K41-L41</f>
        <v/>
      </c>
      <c r="N41" s="149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</row>
    <row r="42">
      <c r="A42" s="122">
        <f>历资表!A42</f>
        <v/>
      </c>
      <c r="B42" s="156">
        <f>历资表!B42</f>
        <v/>
      </c>
      <c r="C42" s="149" t="n"/>
      <c r="D42" s="151">
        <f>B42-C42</f>
        <v/>
      </c>
      <c r="E42" s="156">
        <f>历资表!C42</f>
        <v/>
      </c>
      <c r="F42" s="149" t="n"/>
      <c r="G42" s="151">
        <f>E42-F42</f>
        <v/>
      </c>
      <c r="H42" s="156">
        <f>历资表!D42</f>
        <v/>
      </c>
      <c r="I42" s="149" t="n"/>
      <c r="J42" s="151">
        <f>H42-I42</f>
        <v/>
      </c>
      <c r="K42" s="156">
        <f>历资表!E42</f>
        <v/>
      </c>
      <c r="L42" s="149" t="n"/>
      <c r="M42" s="151">
        <f>K42-L42</f>
        <v/>
      </c>
      <c r="N42" s="149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</row>
    <row r="43">
      <c r="A43" s="122">
        <f>历资表!A43</f>
        <v/>
      </c>
      <c r="B43" s="156">
        <f>历资表!B43</f>
        <v/>
      </c>
      <c r="C43" s="149" t="n"/>
      <c r="D43" s="151">
        <f>B43-C43</f>
        <v/>
      </c>
      <c r="E43" s="156">
        <f>历资表!C43</f>
        <v/>
      </c>
      <c r="F43" s="149" t="n"/>
      <c r="G43" s="151">
        <f>E43-F43</f>
        <v/>
      </c>
      <c r="H43" s="156">
        <f>历资表!D43</f>
        <v/>
      </c>
      <c r="I43" s="149" t="n"/>
      <c r="J43" s="151">
        <f>H43-I43</f>
        <v/>
      </c>
      <c r="K43" s="156">
        <f>历资表!E43</f>
        <v/>
      </c>
      <c r="L43" s="149" t="n"/>
      <c r="M43" s="151">
        <f>K43-L43</f>
        <v/>
      </c>
      <c r="N43" s="149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</row>
    <row r="44">
      <c r="A44" s="122">
        <f>历资表!A44</f>
        <v/>
      </c>
      <c r="B44" s="156">
        <f>历资表!B44</f>
        <v/>
      </c>
      <c r="C44" s="149" t="n"/>
      <c r="D44" s="151">
        <f>B44-C44</f>
        <v/>
      </c>
      <c r="E44" s="156">
        <f>历资表!C44</f>
        <v/>
      </c>
      <c r="F44" s="149" t="n"/>
      <c r="G44" s="151">
        <f>E44-F44</f>
        <v/>
      </c>
      <c r="H44" s="156">
        <f>历资表!D44</f>
        <v/>
      </c>
      <c r="I44" s="149" t="n"/>
      <c r="J44" s="151">
        <f>H44-I44</f>
        <v/>
      </c>
      <c r="K44" s="156">
        <f>历资表!E44</f>
        <v/>
      </c>
      <c r="L44" s="149">
        <f>K44</f>
        <v/>
      </c>
      <c r="M44" s="151">
        <f>K44-L44</f>
        <v/>
      </c>
      <c r="N44" s="149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</row>
    <row r="45">
      <c r="A45" s="122">
        <f>历资表!A45</f>
        <v/>
      </c>
      <c r="B45" s="156">
        <f>历资表!B45</f>
        <v/>
      </c>
      <c r="C45" s="149" t="n"/>
      <c r="D45" s="151">
        <f>B45-C45</f>
        <v/>
      </c>
      <c r="E45" s="156">
        <f>历资表!C45</f>
        <v/>
      </c>
      <c r="F45" s="149" t="n"/>
      <c r="G45" s="151">
        <f>E45-F45</f>
        <v/>
      </c>
      <c r="H45" s="156">
        <f>历资表!D45</f>
        <v/>
      </c>
      <c r="I45" s="149" t="n"/>
      <c r="J45" s="151">
        <f>H45-I45</f>
        <v/>
      </c>
      <c r="K45" s="156">
        <f>历资表!E45</f>
        <v/>
      </c>
      <c r="L45" s="149" t="n"/>
      <c r="M45" s="151">
        <f>K45-L45</f>
        <v/>
      </c>
      <c r="N45" s="149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</row>
    <row r="46">
      <c r="A46" s="136">
        <f>历资表!A46</f>
        <v/>
      </c>
      <c r="B46" s="157">
        <f>历资表!B46</f>
        <v/>
      </c>
      <c r="C46" s="157">
        <f>SUM(C28:C45)</f>
        <v/>
      </c>
      <c r="D46" s="150">
        <f>B46-C46</f>
        <v/>
      </c>
      <c r="E46" s="157">
        <f>历资表!C46</f>
        <v/>
      </c>
      <c r="F46" s="157">
        <f>SUM(F28:F45)</f>
        <v/>
      </c>
      <c r="G46" s="150">
        <f>E46-F46</f>
        <v/>
      </c>
      <c r="H46" s="157">
        <f>历资表!D46</f>
        <v/>
      </c>
      <c r="I46" s="157">
        <f>SUM(I28:I45)</f>
        <v/>
      </c>
      <c r="J46" s="150">
        <f>H46-I46</f>
        <v/>
      </c>
      <c r="K46" s="157">
        <f>历资表!E46</f>
        <v/>
      </c>
      <c r="L46" s="157">
        <f>SUM(L28:L45)</f>
        <v/>
      </c>
      <c r="M46" s="150">
        <f>K46-L46</f>
        <v/>
      </c>
      <c r="N46" s="153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</row>
    <row r="47">
      <c r="A47" s="136">
        <f>历资表!A47</f>
        <v/>
      </c>
      <c r="B47" s="157">
        <f>历资表!B47</f>
        <v/>
      </c>
      <c r="C47" s="157">
        <f>C26+C46</f>
        <v/>
      </c>
      <c r="D47" s="150">
        <f>B47-C47</f>
        <v/>
      </c>
      <c r="E47" s="157">
        <f>历资表!C47</f>
        <v/>
      </c>
      <c r="F47" s="157">
        <f>F26+F46</f>
        <v/>
      </c>
      <c r="G47" s="150">
        <f>E47-F47</f>
        <v/>
      </c>
      <c r="H47" s="157">
        <f>历资表!D47</f>
        <v/>
      </c>
      <c r="I47" s="157">
        <f>I26+I46</f>
        <v/>
      </c>
      <c r="J47" s="150">
        <f>H47-I47</f>
        <v/>
      </c>
      <c r="K47" s="157">
        <f>历资表!E47</f>
        <v/>
      </c>
      <c r="L47" s="157">
        <f>L26+L46</f>
        <v/>
      </c>
      <c r="M47" s="150">
        <f>K47-L47</f>
        <v/>
      </c>
      <c r="N47" s="153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</row>
    <row r="48">
      <c r="A48" s="122">
        <f>历资表!A48</f>
        <v/>
      </c>
      <c r="B48" s="148" t="n"/>
      <c r="C48" s="148" t="n"/>
      <c r="D48" s="148" t="n"/>
      <c r="E48" s="148" t="n"/>
      <c r="F48" s="148" t="n"/>
      <c r="G48" s="148" t="n"/>
      <c r="H48" s="148" t="n"/>
      <c r="I48" s="148" t="n"/>
      <c r="J48" s="148" t="n"/>
      <c r="K48" s="148" t="n"/>
      <c r="L48" s="148" t="n"/>
      <c r="M48" s="148" t="n"/>
      <c r="N48" s="148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</row>
    <row r="49">
      <c r="A49" s="122">
        <f>历资表!A49</f>
        <v/>
      </c>
      <c r="B49" s="156">
        <f>历资表!B49</f>
        <v/>
      </c>
      <c r="C49" s="149" t="n"/>
      <c r="D49" s="151">
        <f>B49-C49</f>
        <v/>
      </c>
      <c r="E49" s="156">
        <f>历资表!C49</f>
        <v/>
      </c>
      <c r="F49" s="149" t="n"/>
      <c r="G49" s="151">
        <f>E49-F49</f>
        <v/>
      </c>
      <c r="H49" s="156">
        <f>历资表!D49</f>
        <v/>
      </c>
      <c r="I49" s="149" t="n"/>
      <c r="J49" s="151">
        <f>H49-I49</f>
        <v/>
      </c>
      <c r="K49" s="156">
        <f>历资表!E49</f>
        <v/>
      </c>
      <c r="L49" s="149" t="n"/>
      <c r="M49" s="151">
        <f>K49-L49</f>
        <v/>
      </c>
      <c r="N49" s="149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</row>
    <row r="50">
      <c r="A50" s="122">
        <f>历资表!A50</f>
        <v/>
      </c>
      <c r="B50" s="156">
        <f>历资表!B50</f>
        <v/>
      </c>
      <c r="C50" s="149" t="n"/>
      <c r="D50" s="151">
        <f>B50-C50</f>
        <v/>
      </c>
      <c r="E50" s="156">
        <f>历资表!C50</f>
        <v/>
      </c>
      <c r="F50" s="149" t="n"/>
      <c r="G50" s="151">
        <f>E50-F50</f>
        <v/>
      </c>
      <c r="H50" s="156">
        <f>历资表!D50</f>
        <v/>
      </c>
      <c r="I50" s="149" t="n"/>
      <c r="J50" s="151">
        <f>H50-I50</f>
        <v/>
      </c>
      <c r="K50" s="156">
        <f>历资表!E50</f>
        <v/>
      </c>
      <c r="L50" s="149" t="n"/>
      <c r="M50" s="151">
        <f>K50-L50</f>
        <v/>
      </c>
      <c r="N50" s="149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</row>
    <row r="51">
      <c r="A51" s="122">
        <f>历资表!A51</f>
        <v/>
      </c>
      <c r="B51" s="156">
        <f>历资表!B51</f>
        <v/>
      </c>
      <c r="C51" s="149" t="n"/>
      <c r="D51" s="151">
        <f>B51-C51</f>
        <v/>
      </c>
      <c r="E51" s="156">
        <f>历资表!C51</f>
        <v/>
      </c>
      <c r="F51" s="149" t="n"/>
      <c r="G51" s="151">
        <f>E51-F51</f>
        <v/>
      </c>
      <c r="H51" s="156">
        <f>历资表!D51</f>
        <v/>
      </c>
      <c r="I51" s="149" t="n"/>
      <c r="J51" s="151">
        <f>H51-I51</f>
        <v/>
      </c>
      <c r="K51" s="156">
        <f>历资表!E51</f>
        <v/>
      </c>
      <c r="L51" s="149" t="n"/>
      <c r="M51" s="151">
        <f>K51-L51</f>
        <v/>
      </c>
      <c r="N51" s="149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</row>
    <row r="52">
      <c r="A52" s="122">
        <f>历资表!A52</f>
        <v/>
      </c>
      <c r="B52" s="156">
        <f>历资表!B52</f>
        <v/>
      </c>
      <c r="C52" s="149" t="n"/>
      <c r="D52" s="151">
        <f>B52-C52</f>
        <v/>
      </c>
      <c r="E52" s="156">
        <f>历资表!C52</f>
        <v/>
      </c>
      <c r="F52" s="149" t="n"/>
      <c r="G52" s="151">
        <f>E52-F52</f>
        <v/>
      </c>
      <c r="H52" s="156">
        <f>历资表!D52</f>
        <v/>
      </c>
      <c r="I52" s="149" t="n"/>
      <c r="J52" s="151">
        <f>H52-I52</f>
        <v/>
      </c>
      <c r="K52" s="156">
        <f>历资表!E52</f>
        <v/>
      </c>
      <c r="L52" s="149" t="n"/>
      <c r="M52" s="151">
        <f>K52-L52</f>
        <v/>
      </c>
      <c r="N52" s="149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</row>
    <row r="53">
      <c r="A53" s="122">
        <f>历资表!A53</f>
        <v/>
      </c>
      <c r="B53" s="156">
        <f>历资表!B53</f>
        <v/>
      </c>
      <c r="C53" s="149" t="n"/>
      <c r="D53" s="151">
        <f>B53-C53</f>
        <v/>
      </c>
      <c r="E53" s="156">
        <f>历资表!C53</f>
        <v/>
      </c>
      <c r="F53" s="149" t="n"/>
      <c r="G53" s="151">
        <f>E53-F53</f>
        <v/>
      </c>
      <c r="H53" s="156">
        <f>历资表!D53</f>
        <v/>
      </c>
      <c r="I53" s="149" t="n"/>
      <c r="J53" s="151">
        <f>H53-I53</f>
        <v/>
      </c>
      <c r="K53" s="156">
        <f>历资表!E53</f>
        <v/>
      </c>
      <c r="L53" s="149" t="n"/>
      <c r="M53" s="151">
        <f>K53-L53</f>
        <v/>
      </c>
      <c r="N53" s="149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</row>
    <row r="54">
      <c r="A54" s="122">
        <f>历资表!A54</f>
        <v/>
      </c>
      <c r="B54" s="156">
        <f>历资表!B54</f>
        <v/>
      </c>
      <c r="C54" s="149" t="n"/>
      <c r="D54" s="151">
        <f>B54-C54</f>
        <v/>
      </c>
      <c r="E54" s="156">
        <f>历资表!C54</f>
        <v/>
      </c>
      <c r="F54" s="149" t="n"/>
      <c r="G54" s="151">
        <f>E54-F54</f>
        <v/>
      </c>
      <c r="H54" s="156">
        <f>历资表!D54</f>
        <v/>
      </c>
      <c r="I54" s="149" t="n"/>
      <c r="J54" s="151">
        <f>H54-I54</f>
        <v/>
      </c>
      <c r="K54" s="156">
        <f>历资表!E54</f>
        <v/>
      </c>
      <c r="L54" s="149" t="n"/>
      <c r="M54" s="151">
        <f>K54-L54</f>
        <v/>
      </c>
      <c r="N54" s="149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</row>
    <row r="55">
      <c r="A55" s="122">
        <f>历资表!A55</f>
        <v/>
      </c>
      <c r="B55" s="156">
        <f>历资表!B55</f>
        <v/>
      </c>
      <c r="C55" s="149" t="n"/>
      <c r="D55" s="151">
        <f>B55-C55</f>
        <v/>
      </c>
      <c r="E55" s="156">
        <f>历资表!C55</f>
        <v/>
      </c>
      <c r="F55" s="149" t="n"/>
      <c r="G55" s="151">
        <f>E55-F55</f>
        <v/>
      </c>
      <c r="H55" s="156">
        <f>历资表!D55</f>
        <v/>
      </c>
      <c r="I55" s="149" t="n"/>
      <c r="J55" s="151">
        <f>H55-I55</f>
        <v/>
      </c>
      <c r="K55" s="156">
        <f>历资表!E55</f>
        <v/>
      </c>
      <c r="L55" s="149" t="n"/>
      <c r="M55" s="151">
        <f>K55-L55</f>
        <v/>
      </c>
      <c r="N55" s="149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</row>
    <row r="56">
      <c r="A56" s="122">
        <f>历资表!A56</f>
        <v/>
      </c>
      <c r="B56" s="156">
        <f>历资表!B56</f>
        <v/>
      </c>
      <c r="C56" s="149" t="n"/>
      <c r="D56" s="151">
        <f>B56-C56</f>
        <v/>
      </c>
      <c r="E56" s="156">
        <f>历资表!C56</f>
        <v/>
      </c>
      <c r="F56" s="149" t="n"/>
      <c r="G56" s="151">
        <f>E56-F56</f>
        <v/>
      </c>
      <c r="H56" s="156">
        <f>历资表!D56</f>
        <v/>
      </c>
      <c r="I56" s="149" t="n"/>
      <c r="J56" s="151">
        <f>H56-I56</f>
        <v/>
      </c>
      <c r="K56" s="156">
        <f>历资表!E56</f>
        <v/>
      </c>
      <c r="L56" s="149" t="n"/>
      <c r="M56" s="151">
        <f>K56-L56</f>
        <v/>
      </c>
      <c r="N56" s="149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</row>
    <row r="57">
      <c r="A57" s="122">
        <f>历资表!A57</f>
        <v/>
      </c>
      <c r="B57" s="156">
        <f>历资表!B57</f>
        <v/>
      </c>
      <c r="C57" s="149" t="n"/>
      <c r="D57" s="151">
        <f>B57-C57</f>
        <v/>
      </c>
      <c r="E57" s="156">
        <f>历资表!C57</f>
        <v/>
      </c>
      <c r="F57" s="149" t="n"/>
      <c r="G57" s="151">
        <f>E57-F57</f>
        <v/>
      </c>
      <c r="H57" s="156">
        <f>历资表!D57</f>
        <v/>
      </c>
      <c r="I57" s="149" t="n"/>
      <c r="J57" s="151">
        <f>H57-I57</f>
        <v/>
      </c>
      <c r="K57" s="156">
        <f>历资表!E57</f>
        <v/>
      </c>
      <c r="L57" s="149" t="n"/>
      <c r="M57" s="151">
        <f>K57-L57</f>
        <v/>
      </c>
      <c r="N57" s="149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</row>
    <row r="58">
      <c r="A58" s="122">
        <f>历资表!A58</f>
        <v/>
      </c>
      <c r="B58" s="156">
        <f>历资表!B58</f>
        <v/>
      </c>
      <c r="C58" s="149" t="n"/>
      <c r="D58" s="151">
        <f>B58-C58</f>
        <v/>
      </c>
      <c r="E58" s="156">
        <f>历资表!C58</f>
        <v/>
      </c>
      <c r="F58" s="149" t="n"/>
      <c r="G58" s="151">
        <f>E58-F58</f>
        <v/>
      </c>
      <c r="H58" s="156">
        <f>历资表!D58</f>
        <v/>
      </c>
      <c r="I58" s="149" t="n"/>
      <c r="J58" s="151">
        <f>H58-I58</f>
        <v/>
      </c>
      <c r="K58" s="156">
        <f>历资表!E58</f>
        <v/>
      </c>
      <c r="L58" s="149" t="n"/>
      <c r="M58" s="151">
        <f>K58-L58</f>
        <v/>
      </c>
      <c r="N58" s="149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</row>
    <row r="59">
      <c r="A59" s="122">
        <f>历资表!A59</f>
        <v/>
      </c>
      <c r="B59" s="156">
        <f>历资表!B59</f>
        <v/>
      </c>
      <c r="C59" s="149" t="n"/>
      <c r="D59" s="151">
        <f>B59-C59</f>
        <v/>
      </c>
      <c r="E59" s="156">
        <f>历资表!C59</f>
        <v/>
      </c>
      <c r="F59" s="149" t="n"/>
      <c r="G59" s="151">
        <f>E59-F59</f>
        <v/>
      </c>
      <c r="H59" s="156">
        <f>历资表!D59</f>
        <v/>
      </c>
      <c r="I59" s="149" t="n"/>
      <c r="J59" s="151">
        <f>H59-I59</f>
        <v/>
      </c>
      <c r="K59" s="156">
        <f>历资表!E59</f>
        <v/>
      </c>
      <c r="L59" s="149" t="n"/>
      <c r="M59" s="151">
        <f>K59-L59</f>
        <v/>
      </c>
      <c r="N59" s="149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</row>
    <row r="60">
      <c r="A60" s="122">
        <f>历资表!A60</f>
        <v/>
      </c>
      <c r="B60" s="156">
        <f>历资表!B60</f>
        <v/>
      </c>
      <c r="C60" s="149" t="n"/>
      <c r="D60" s="151">
        <f>B60-C60</f>
        <v/>
      </c>
      <c r="E60" s="156">
        <f>历资表!C60</f>
        <v/>
      </c>
      <c r="F60" s="149" t="n"/>
      <c r="G60" s="151">
        <f>E60-F60</f>
        <v/>
      </c>
      <c r="H60" s="156">
        <f>历资表!D60</f>
        <v/>
      </c>
      <c r="I60" s="149" t="n"/>
      <c r="J60" s="151">
        <f>H60-I60</f>
        <v/>
      </c>
      <c r="K60" s="156">
        <f>历资表!E60</f>
        <v/>
      </c>
      <c r="L60" s="149" t="n"/>
      <c r="M60" s="151">
        <f>K60-L60</f>
        <v/>
      </c>
      <c r="N60" s="149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</row>
    <row r="61">
      <c r="A61" s="122">
        <f>历资表!A61</f>
        <v/>
      </c>
      <c r="B61" s="156">
        <f>历资表!B61</f>
        <v/>
      </c>
      <c r="C61" s="149" t="n"/>
      <c r="D61" s="151">
        <f>B61-C61</f>
        <v/>
      </c>
      <c r="E61" s="156">
        <f>历资表!C61</f>
        <v/>
      </c>
      <c r="F61" s="149" t="n"/>
      <c r="G61" s="151">
        <f>E61-F61</f>
        <v/>
      </c>
      <c r="H61" s="156">
        <f>历资表!D61</f>
        <v/>
      </c>
      <c r="I61" s="149" t="n"/>
      <c r="J61" s="151">
        <f>H61-I61</f>
        <v/>
      </c>
      <c r="K61" s="156">
        <f>历资表!E61</f>
        <v/>
      </c>
      <c r="L61" s="149" t="n"/>
      <c r="M61" s="151">
        <f>K61-L61</f>
        <v/>
      </c>
      <c r="N61" s="149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</row>
    <row r="62">
      <c r="A62" s="122">
        <f>历资表!A62</f>
        <v/>
      </c>
      <c r="B62" s="156">
        <f>历资表!B62</f>
        <v/>
      </c>
      <c r="C62" s="149" t="n"/>
      <c r="D62" s="151">
        <f>B62-C62</f>
        <v/>
      </c>
      <c r="E62" s="156">
        <f>历资表!C62</f>
        <v/>
      </c>
      <c r="F62" s="149" t="n"/>
      <c r="G62" s="151">
        <f>E62-F62</f>
        <v/>
      </c>
      <c r="H62" s="156">
        <f>历资表!D62</f>
        <v/>
      </c>
      <c r="I62" s="149" t="n"/>
      <c r="J62" s="151">
        <f>H62-I62</f>
        <v/>
      </c>
      <c r="K62" s="156">
        <f>历资表!E62</f>
        <v/>
      </c>
      <c r="L62" s="149" t="n"/>
      <c r="M62" s="151">
        <f>K62-L62</f>
        <v/>
      </c>
      <c r="N62" s="149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</row>
    <row r="63">
      <c r="A63" s="122">
        <f>历资表!A63</f>
        <v/>
      </c>
      <c r="B63" s="156">
        <f>历资表!B63</f>
        <v/>
      </c>
      <c r="C63" s="149" t="n"/>
      <c r="D63" s="151">
        <f>B63-C63</f>
        <v/>
      </c>
      <c r="E63" s="156">
        <f>历资表!C63</f>
        <v/>
      </c>
      <c r="F63" s="149" t="n"/>
      <c r="G63" s="151">
        <f>E63-F63</f>
        <v/>
      </c>
      <c r="H63" s="156">
        <f>历资表!D63</f>
        <v/>
      </c>
      <c r="I63" s="149" t="n"/>
      <c r="J63" s="151">
        <f>H63-I63</f>
        <v/>
      </c>
      <c r="K63" s="156">
        <f>历资表!E63</f>
        <v/>
      </c>
      <c r="L63" s="149" t="n"/>
      <c r="M63" s="151">
        <f>K63-L63</f>
        <v/>
      </c>
      <c r="N63" s="149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</row>
    <row r="64">
      <c r="A64" s="122">
        <f>历资表!A64</f>
        <v/>
      </c>
      <c r="B64" s="156">
        <f>历资表!B64</f>
        <v/>
      </c>
      <c r="C64" s="149" t="n"/>
      <c r="D64" s="151">
        <f>B64-C64</f>
        <v/>
      </c>
      <c r="E64" s="156">
        <f>历资表!C64</f>
        <v/>
      </c>
      <c r="F64" s="149" t="n"/>
      <c r="G64" s="151">
        <f>E64-F64</f>
        <v/>
      </c>
      <c r="H64" s="156">
        <f>历资表!D64</f>
        <v/>
      </c>
      <c r="I64" s="149" t="n"/>
      <c r="J64" s="151">
        <f>H64-I64</f>
        <v/>
      </c>
      <c r="K64" s="156">
        <f>历资表!E64</f>
        <v/>
      </c>
      <c r="L64" s="149" t="n"/>
      <c r="M64" s="151">
        <f>K64-L64</f>
        <v/>
      </c>
      <c r="N64" s="149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</row>
    <row r="65">
      <c r="A65" s="122">
        <f>历资表!A65</f>
        <v/>
      </c>
      <c r="B65" s="156">
        <f>历资表!B65</f>
        <v/>
      </c>
      <c r="C65" s="149" t="n"/>
      <c r="D65" s="151">
        <f>B65-C65</f>
        <v/>
      </c>
      <c r="E65" s="156">
        <f>历资表!C65</f>
        <v/>
      </c>
      <c r="F65" s="149" t="n"/>
      <c r="G65" s="151">
        <f>E65-F65</f>
        <v/>
      </c>
      <c r="H65" s="156">
        <f>历资表!D65</f>
        <v/>
      </c>
      <c r="I65" s="149" t="n"/>
      <c r="J65" s="151">
        <f>H65-I65</f>
        <v/>
      </c>
      <c r="K65" s="156">
        <f>历资表!E65</f>
        <v/>
      </c>
      <c r="L65" s="149" t="n"/>
      <c r="M65" s="151">
        <f>K65-L65</f>
        <v/>
      </c>
      <c r="N65" s="149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</row>
    <row r="66">
      <c r="A66" s="122">
        <f>历资表!A66</f>
        <v/>
      </c>
      <c r="B66" s="156">
        <f>历资表!B66</f>
        <v/>
      </c>
      <c r="C66" s="149" t="n"/>
      <c r="D66" s="151">
        <f>B66-C66</f>
        <v/>
      </c>
      <c r="E66" s="156">
        <f>历资表!C66</f>
        <v/>
      </c>
      <c r="F66" s="149" t="n"/>
      <c r="G66" s="151">
        <f>E66-F66</f>
        <v/>
      </c>
      <c r="H66" s="156">
        <f>历资表!D66</f>
        <v/>
      </c>
      <c r="I66" s="149" t="n"/>
      <c r="J66" s="151">
        <f>H66-I66</f>
        <v/>
      </c>
      <c r="K66" s="156">
        <f>历资表!E66</f>
        <v/>
      </c>
      <c r="L66" s="149">
        <f>K66</f>
        <v/>
      </c>
      <c r="M66" s="151">
        <f>K66-L66</f>
        <v/>
      </c>
      <c r="N66" s="149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</row>
    <row r="67">
      <c r="A67" s="122">
        <f>历资表!A67</f>
        <v/>
      </c>
      <c r="B67" s="156">
        <f>历资表!B67</f>
        <v/>
      </c>
      <c r="C67" s="149" t="n"/>
      <c r="D67" s="151">
        <f>B67-C67</f>
        <v/>
      </c>
      <c r="E67" s="156">
        <f>历资表!C67</f>
        <v/>
      </c>
      <c r="F67" s="149" t="n"/>
      <c r="G67" s="151">
        <f>E67-F67</f>
        <v/>
      </c>
      <c r="H67" s="156">
        <f>历资表!D67</f>
        <v/>
      </c>
      <c r="I67" s="149" t="n"/>
      <c r="J67" s="151">
        <f>H67-I67</f>
        <v/>
      </c>
      <c r="K67" s="156">
        <f>历资表!E67</f>
        <v/>
      </c>
      <c r="L67" s="149" t="n"/>
      <c r="M67" s="151">
        <f>K67-L67</f>
        <v/>
      </c>
      <c r="N67" s="149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</row>
    <row r="68">
      <c r="A68" s="122">
        <f>历资表!A68</f>
        <v/>
      </c>
      <c r="B68" s="156">
        <f>历资表!B68</f>
        <v/>
      </c>
      <c r="C68" s="149" t="n"/>
      <c r="D68" s="151">
        <f>B68-C68</f>
        <v/>
      </c>
      <c r="E68" s="156">
        <f>历资表!C68</f>
        <v/>
      </c>
      <c r="F68" s="149" t="n"/>
      <c r="G68" s="151">
        <f>E68-F68</f>
        <v/>
      </c>
      <c r="H68" s="156">
        <f>历资表!D68</f>
        <v/>
      </c>
      <c r="I68" s="149" t="n"/>
      <c r="J68" s="151">
        <f>H68-I68</f>
        <v/>
      </c>
      <c r="K68" s="156">
        <f>历资表!E68</f>
        <v/>
      </c>
      <c r="L68" s="149" t="n"/>
      <c r="M68" s="151">
        <f>K68-L68</f>
        <v/>
      </c>
      <c r="N68" s="149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</row>
    <row r="69">
      <c r="A69" s="122">
        <f>历资表!A69</f>
        <v/>
      </c>
      <c r="B69" s="156">
        <f>历资表!B69</f>
        <v/>
      </c>
      <c r="C69" s="149" t="n"/>
      <c r="D69" s="151">
        <f>B69-C69</f>
        <v/>
      </c>
      <c r="E69" s="156">
        <f>历资表!C69</f>
        <v/>
      </c>
      <c r="F69" s="149" t="n"/>
      <c r="G69" s="151">
        <f>E69-F69</f>
        <v/>
      </c>
      <c r="H69" s="156">
        <f>历资表!D69</f>
        <v/>
      </c>
      <c r="I69" s="149" t="n"/>
      <c r="J69" s="151">
        <f>H69-I69</f>
        <v/>
      </c>
      <c r="K69" s="156">
        <f>历资表!E69</f>
        <v/>
      </c>
      <c r="L69" s="149" t="n"/>
      <c r="M69" s="151">
        <f>K69-L69</f>
        <v/>
      </c>
      <c r="N69" s="149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</row>
    <row r="70">
      <c r="A70" s="136">
        <f>历资表!A70</f>
        <v/>
      </c>
      <c r="B70" s="157">
        <f>历资表!B70</f>
        <v/>
      </c>
      <c r="C70" s="157">
        <f>SUM(C49:C69)</f>
        <v/>
      </c>
      <c r="D70" s="150">
        <f>B70-C70</f>
        <v/>
      </c>
      <c r="E70" s="157">
        <f>历资表!C70</f>
        <v/>
      </c>
      <c r="F70" s="157">
        <f>SUM(F49:F69)</f>
        <v/>
      </c>
      <c r="G70" s="150">
        <f>E70-F70</f>
        <v/>
      </c>
      <c r="H70" s="157">
        <f>历资表!D70</f>
        <v/>
      </c>
      <c r="I70" s="157">
        <f>SUM(I49:I69)</f>
        <v/>
      </c>
      <c r="J70" s="150">
        <f>H70-I70</f>
        <v/>
      </c>
      <c r="K70" s="157">
        <f>历资表!E70</f>
        <v/>
      </c>
      <c r="L70" s="157">
        <f>SUM(L49:L69)</f>
        <v/>
      </c>
      <c r="M70" s="150">
        <f>K70-L70</f>
        <v/>
      </c>
      <c r="N70" s="153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</row>
    <row r="71">
      <c r="A71" s="122">
        <f>历资表!A71</f>
        <v/>
      </c>
      <c r="B71" s="148" t="n"/>
      <c r="C71" s="148" t="n"/>
      <c r="D71" s="148" t="n"/>
      <c r="E71" s="148" t="n"/>
      <c r="F71" s="148" t="n"/>
      <c r="G71" s="148" t="n"/>
      <c r="H71" s="148" t="n"/>
      <c r="I71" s="148" t="n"/>
      <c r="J71" s="148" t="n"/>
      <c r="K71" s="148" t="n"/>
      <c r="L71" s="148" t="n"/>
      <c r="M71" s="148" t="n"/>
      <c r="N71" s="148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</row>
    <row r="72">
      <c r="A72" s="122">
        <f>历资表!A72</f>
        <v/>
      </c>
      <c r="B72" s="156">
        <f>历资表!B72</f>
        <v/>
      </c>
      <c r="C72" s="149" t="n"/>
      <c r="D72" s="151">
        <f>B72-C72</f>
        <v/>
      </c>
      <c r="E72" s="156">
        <f>历资表!C72</f>
        <v/>
      </c>
      <c r="F72" s="149" t="n"/>
      <c r="G72" s="151">
        <f>E72-F72</f>
        <v/>
      </c>
      <c r="H72" s="156">
        <f>历资表!D72</f>
        <v/>
      </c>
      <c r="I72" s="149" t="n"/>
      <c r="J72" s="151">
        <f>H72-I72</f>
        <v/>
      </c>
      <c r="K72" s="156">
        <f>历资表!E72</f>
        <v/>
      </c>
      <c r="L72" s="149" t="n"/>
      <c r="M72" s="151">
        <f>K72-L72</f>
        <v/>
      </c>
      <c r="N72" s="149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</row>
    <row r="73">
      <c r="A73" s="122">
        <f>历资表!A73</f>
        <v/>
      </c>
      <c r="B73" s="156">
        <f>历资表!B73</f>
        <v/>
      </c>
      <c r="C73" s="149" t="n"/>
      <c r="D73" s="151">
        <f>B73-C73</f>
        <v/>
      </c>
      <c r="E73" s="156">
        <f>历资表!C73</f>
        <v/>
      </c>
      <c r="F73" s="149" t="n"/>
      <c r="G73" s="151">
        <f>E73-F73</f>
        <v/>
      </c>
      <c r="H73" s="156">
        <f>历资表!D73</f>
        <v/>
      </c>
      <c r="I73" s="149" t="n"/>
      <c r="J73" s="151">
        <f>H73-I73</f>
        <v/>
      </c>
      <c r="K73" s="156">
        <f>历资表!E73</f>
        <v/>
      </c>
      <c r="L73" s="149" t="n"/>
      <c r="M73" s="151">
        <f>K73-L73</f>
        <v/>
      </c>
      <c r="N73" s="149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</row>
    <row r="74">
      <c r="A74" s="122">
        <f>历资表!A74</f>
        <v/>
      </c>
      <c r="B74" s="156">
        <f>历资表!B74</f>
        <v/>
      </c>
      <c r="C74" s="149" t="n"/>
      <c r="D74" s="151">
        <f>B74-C74</f>
        <v/>
      </c>
      <c r="E74" s="156">
        <f>历资表!C74</f>
        <v/>
      </c>
      <c r="F74" s="149" t="n"/>
      <c r="G74" s="151">
        <f>E74-F74</f>
        <v/>
      </c>
      <c r="H74" s="156">
        <f>历资表!D74</f>
        <v/>
      </c>
      <c r="I74" s="149" t="n"/>
      <c r="J74" s="151">
        <f>H74-I74</f>
        <v/>
      </c>
      <c r="K74" s="156">
        <f>历资表!E74</f>
        <v/>
      </c>
      <c r="L74" s="149" t="n"/>
      <c r="M74" s="151">
        <f>K74-L74</f>
        <v/>
      </c>
      <c r="N74" s="149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</row>
    <row r="75">
      <c r="A75" s="122">
        <f>历资表!A75</f>
        <v/>
      </c>
      <c r="B75" s="156">
        <f>历资表!B75</f>
        <v/>
      </c>
      <c r="C75" s="149" t="n"/>
      <c r="D75" s="151">
        <f>B75-C75</f>
        <v/>
      </c>
      <c r="E75" s="156">
        <f>历资表!C75</f>
        <v/>
      </c>
      <c r="F75" s="149" t="n"/>
      <c r="G75" s="151">
        <f>E75-F75</f>
        <v/>
      </c>
      <c r="H75" s="156">
        <f>历资表!D75</f>
        <v/>
      </c>
      <c r="I75" s="149" t="n"/>
      <c r="J75" s="151">
        <f>H75-I75</f>
        <v/>
      </c>
      <c r="K75" s="156">
        <f>历资表!E75</f>
        <v/>
      </c>
      <c r="L75" s="149" t="n"/>
      <c r="M75" s="151">
        <f>K75-L75</f>
        <v/>
      </c>
      <c r="N75" s="149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</row>
    <row r="76">
      <c r="A76" s="122">
        <f>历资表!A76</f>
        <v/>
      </c>
      <c r="B76" s="156">
        <f>历资表!B76</f>
        <v/>
      </c>
      <c r="C76" s="149" t="n"/>
      <c r="D76" s="151">
        <f>B76-C76</f>
        <v/>
      </c>
      <c r="E76" s="156">
        <f>历资表!C76</f>
        <v/>
      </c>
      <c r="F76" s="149" t="n"/>
      <c r="G76" s="151">
        <f>E76-F76</f>
        <v/>
      </c>
      <c r="H76" s="156">
        <f>历资表!D76</f>
        <v/>
      </c>
      <c r="I76" s="149" t="n"/>
      <c r="J76" s="151">
        <f>H76-I76</f>
        <v/>
      </c>
      <c r="K76" s="156">
        <f>历资表!E76</f>
        <v/>
      </c>
      <c r="L76" s="149" t="n"/>
      <c r="M76" s="151">
        <f>K76-L76</f>
        <v/>
      </c>
      <c r="N76" s="149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</row>
    <row r="77">
      <c r="A77" s="122">
        <f>历资表!A77</f>
        <v/>
      </c>
      <c r="B77" s="156">
        <f>历资表!B77</f>
        <v/>
      </c>
      <c r="C77" s="149" t="n"/>
      <c r="D77" s="151">
        <f>B77-C77</f>
        <v/>
      </c>
      <c r="E77" s="156">
        <f>历资表!C77</f>
        <v/>
      </c>
      <c r="F77" s="149" t="n"/>
      <c r="G77" s="151">
        <f>E77-F77</f>
        <v/>
      </c>
      <c r="H77" s="156">
        <f>历资表!D77</f>
        <v/>
      </c>
      <c r="I77" s="149" t="n"/>
      <c r="J77" s="151">
        <f>H77-I77</f>
        <v/>
      </c>
      <c r="K77" s="156">
        <f>历资表!E77</f>
        <v/>
      </c>
      <c r="L77" s="149" t="n"/>
      <c r="M77" s="151">
        <f>K77-L77</f>
        <v/>
      </c>
      <c r="N77" s="149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</row>
    <row r="78">
      <c r="A78" s="122">
        <f>历资表!A78</f>
        <v/>
      </c>
      <c r="B78" s="156">
        <f>历资表!B78</f>
        <v/>
      </c>
      <c r="C78" s="149" t="n"/>
      <c r="D78" s="151">
        <f>B78-C78</f>
        <v/>
      </c>
      <c r="E78" s="156">
        <f>历资表!C78</f>
        <v/>
      </c>
      <c r="F78" s="149" t="n"/>
      <c r="G78" s="151">
        <f>E78-F78</f>
        <v/>
      </c>
      <c r="H78" s="156">
        <f>历资表!D78</f>
        <v/>
      </c>
      <c r="I78" s="149" t="n"/>
      <c r="J78" s="151">
        <f>H78-I78</f>
        <v/>
      </c>
      <c r="K78" s="156">
        <f>历资表!E78</f>
        <v/>
      </c>
      <c r="L78" s="149" t="n"/>
      <c r="M78" s="151">
        <f>K78-L78</f>
        <v/>
      </c>
      <c r="N78" s="149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</row>
    <row r="79">
      <c r="A79" s="122">
        <f>历资表!A79</f>
        <v/>
      </c>
      <c r="B79" s="156">
        <f>历资表!B79</f>
        <v/>
      </c>
      <c r="C79" s="149" t="n"/>
      <c r="D79" s="151">
        <f>B79-C79</f>
        <v/>
      </c>
      <c r="E79" s="156">
        <f>历资表!C79</f>
        <v/>
      </c>
      <c r="F79" s="149" t="n"/>
      <c r="G79" s="151">
        <f>E79-F79</f>
        <v/>
      </c>
      <c r="H79" s="156">
        <f>历资表!D79</f>
        <v/>
      </c>
      <c r="I79" s="149" t="n"/>
      <c r="J79" s="151">
        <f>H79-I79</f>
        <v/>
      </c>
      <c r="K79" s="156">
        <f>历资表!E79</f>
        <v/>
      </c>
      <c r="L79" s="149" t="n"/>
      <c r="M79" s="151">
        <f>K79-L79</f>
        <v/>
      </c>
      <c r="N79" s="149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</row>
    <row r="80">
      <c r="A80" s="122">
        <f>历资表!A80</f>
        <v/>
      </c>
      <c r="B80" s="156">
        <f>历资表!B80</f>
        <v/>
      </c>
      <c r="C80" s="149" t="n"/>
      <c r="D80" s="151">
        <f>B80-C80</f>
        <v/>
      </c>
      <c r="E80" s="156">
        <f>历资表!C80</f>
        <v/>
      </c>
      <c r="F80" s="149" t="n"/>
      <c r="G80" s="151">
        <f>E80-F80</f>
        <v/>
      </c>
      <c r="H80" s="156">
        <f>历资表!D80</f>
        <v/>
      </c>
      <c r="I80" s="149" t="n"/>
      <c r="J80" s="151">
        <f>H80-I80</f>
        <v/>
      </c>
      <c r="K80" s="156">
        <f>历资表!E80</f>
        <v/>
      </c>
      <c r="L80" s="149">
        <f>K80</f>
        <v/>
      </c>
      <c r="M80" s="151">
        <f>K80-L80</f>
        <v/>
      </c>
      <c r="N80" s="149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</row>
    <row r="81">
      <c r="A81" s="122">
        <f>历资表!A81</f>
        <v/>
      </c>
      <c r="B81" s="156">
        <f>历资表!B81</f>
        <v/>
      </c>
      <c r="C81" s="149" t="n"/>
      <c r="D81" s="151">
        <f>B81-C81</f>
        <v/>
      </c>
      <c r="E81" s="156">
        <f>历资表!C81</f>
        <v/>
      </c>
      <c r="F81" s="149" t="n"/>
      <c r="G81" s="151">
        <f>E81-F81</f>
        <v/>
      </c>
      <c r="H81" s="156">
        <f>历资表!D81</f>
        <v/>
      </c>
      <c r="I81" s="149" t="n"/>
      <c r="J81" s="151">
        <f>H81-I81</f>
        <v/>
      </c>
      <c r="K81" s="156">
        <f>历资表!E81</f>
        <v/>
      </c>
      <c r="L81" s="149" t="n"/>
      <c r="M81" s="151">
        <f>K81-L81</f>
        <v/>
      </c>
      <c r="N81" s="149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</row>
    <row r="82">
      <c r="A82" s="136">
        <f>历资表!A82</f>
        <v/>
      </c>
      <c r="B82" s="157">
        <f>历资表!B82</f>
        <v/>
      </c>
      <c r="C82" s="157">
        <f>SUM(C72:C73,C76:C81)</f>
        <v/>
      </c>
      <c r="D82" s="150">
        <f>B82-C82</f>
        <v/>
      </c>
      <c r="E82" s="157">
        <f>历资表!C82</f>
        <v/>
      </c>
      <c r="F82" s="157">
        <f>SUM(F72:F73,F76:F81)</f>
        <v/>
      </c>
      <c r="G82" s="150">
        <f>E82-F82</f>
        <v/>
      </c>
      <c r="H82" s="157">
        <f>历资表!D82</f>
        <v/>
      </c>
      <c r="I82" s="157">
        <f>SUM(I72:I73,I76:I81)</f>
        <v/>
      </c>
      <c r="J82" s="150">
        <f>H82-I82</f>
        <v/>
      </c>
      <c r="K82" s="157">
        <f>历资表!E82</f>
        <v/>
      </c>
      <c r="L82" s="157">
        <f>SUM(L72:L73,L76:L81)</f>
        <v/>
      </c>
      <c r="M82" s="150">
        <f>K82-L82</f>
        <v/>
      </c>
      <c r="N82" s="153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</row>
    <row r="83">
      <c r="A83" s="136">
        <f>历资表!A83</f>
        <v/>
      </c>
      <c r="B83" s="157">
        <f>历资表!B83</f>
        <v/>
      </c>
      <c r="C83" s="157">
        <f>C70+C82</f>
        <v/>
      </c>
      <c r="D83" s="150">
        <f>B83-C83</f>
        <v/>
      </c>
      <c r="E83" s="157">
        <f>历资表!C83</f>
        <v/>
      </c>
      <c r="F83" s="157">
        <f>F70+F82</f>
        <v/>
      </c>
      <c r="G83" s="150">
        <f>E83-F83</f>
        <v/>
      </c>
      <c r="H83" s="157">
        <f>历资表!D83</f>
        <v/>
      </c>
      <c r="I83" s="157">
        <f>I70+I82</f>
        <v/>
      </c>
      <c r="J83" s="150">
        <f>H83-I83</f>
        <v/>
      </c>
      <c r="K83" s="157">
        <f>历资表!E83</f>
        <v/>
      </c>
      <c r="L83" s="157">
        <f>L70+L82</f>
        <v/>
      </c>
      <c r="M83" s="150">
        <f>K83-L83</f>
        <v/>
      </c>
      <c r="N83" s="153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</row>
    <row r="84">
      <c r="A84" s="122">
        <f>历资表!A84</f>
        <v/>
      </c>
      <c r="B84" s="148" t="n"/>
      <c r="C84" s="148" t="n"/>
      <c r="D84" s="148" t="n"/>
      <c r="E84" s="148" t="n"/>
      <c r="F84" s="148" t="n"/>
      <c r="G84" s="148" t="n"/>
      <c r="H84" s="148" t="n"/>
      <c r="I84" s="148" t="n"/>
      <c r="J84" s="148" t="n"/>
      <c r="K84" s="148" t="n"/>
      <c r="L84" s="148" t="n"/>
      <c r="M84" s="148" t="n"/>
      <c r="N84" s="148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</row>
    <row r="85">
      <c r="A85" s="122">
        <f>历资表!A85</f>
        <v/>
      </c>
      <c r="B85" s="156">
        <f>历资表!B85</f>
        <v/>
      </c>
      <c r="C85" s="149" t="n"/>
      <c r="D85" s="151">
        <f>B85-C85</f>
        <v/>
      </c>
      <c r="E85" s="156">
        <f>历资表!C85</f>
        <v/>
      </c>
      <c r="F85" s="149" t="n"/>
      <c r="G85" s="151">
        <f>E85-F85</f>
        <v/>
      </c>
      <c r="H85" s="156">
        <f>历资表!D85</f>
        <v/>
      </c>
      <c r="I85" s="149" t="n"/>
      <c r="J85" s="151">
        <f>H85-I85</f>
        <v/>
      </c>
      <c r="K85" s="156">
        <f>历资表!E85</f>
        <v/>
      </c>
      <c r="L85" s="149" t="n"/>
      <c r="M85" s="151">
        <f>K85-L85</f>
        <v/>
      </c>
      <c r="N85" s="149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</row>
    <row r="86">
      <c r="A86" s="122">
        <f>历资表!A86</f>
        <v/>
      </c>
      <c r="B86" s="156">
        <f>历资表!B86</f>
        <v/>
      </c>
      <c r="C86" s="149" t="n"/>
      <c r="D86" s="151">
        <f>B86-C86</f>
        <v/>
      </c>
      <c r="E86" s="156">
        <f>历资表!C86</f>
        <v/>
      </c>
      <c r="F86" s="149" t="n"/>
      <c r="G86" s="151">
        <f>E86-F86</f>
        <v/>
      </c>
      <c r="H86" s="156">
        <f>历资表!D86</f>
        <v/>
      </c>
      <c r="I86" s="149" t="n"/>
      <c r="J86" s="151">
        <f>H86-I86</f>
        <v/>
      </c>
      <c r="K86" s="156">
        <f>历资表!E86</f>
        <v/>
      </c>
      <c r="L86" s="149" t="n"/>
      <c r="M86" s="151">
        <f>K86-L86</f>
        <v/>
      </c>
      <c r="N86" s="149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</row>
    <row r="87">
      <c r="A87" s="122">
        <f>历资表!A87</f>
        <v/>
      </c>
      <c r="B87" s="156">
        <f>历资表!B87</f>
        <v/>
      </c>
      <c r="C87" s="149" t="n"/>
      <c r="D87" s="151">
        <f>B87-C87</f>
        <v/>
      </c>
      <c r="E87" s="156">
        <f>历资表!C87</f>
        <v/>
      </c>
      <c r="F87" s="149" t="n"/>
      <c r="G87" s="151">
        <f>E87-F87</f>
        <v/>
      </c>
      <c r="H87" s="156">
        <f>历资表!D87</f>
        <v/>
      </c>
      <c r="I87" s="149" t="n"/>
      <c r="J87" s="151">
        <f>H87-I87</f>
        <v/>
      </c>
      <c r="K87" s="156">
        <f>历资表!E87</f>
        <v/>
      </c>
      <c r="L87" s="149" t="n"/>
      <c r="M87" s="151">
        <f>K87-L87</f>
        <v/>
      </c>
      <c r="N87" s="149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</row>
    <row r="88">
      <c r="A88" s="122">
        <f>历资表!A88</f>
        <v/>
      </c>
      <c r="B88" s="156">
        <f>历资表!B88</f>
        <v/>
      </c>
      <c r="C88" s="149" t="n"/>
      <c r="D88" s="151">
        <f>B88-C88</f>
        <v/>
      </c>
      <c r="E88" s="156">
        <f>历资表!C88</f>
        <v/>
      </c>
      <c r="F88" s="149" t="n"/>
      <c r="G88" s="151">
        <f>E88-F88</f>
        <v/>
      </c>
      <c r="H88" s="156">
        <f>历资表!D88</f>
        <v/>
      </c>
      <c r="I88" s="149" t="n"/>
      <c r="J88" s="151">
        <f>H88-I88</f>
        <v/>
      </c>
      <c r="K88" s="156">
        <f>历资表!E88</f>
        <v/>
      </c>
      <c r="L88" s="149" t="n"/>
      <c r="M88" s="151">
        <f>K88-L88</f>
        <v/>
      </c>
      <c r="N88" s="149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</row>
    <row r="89">
      <c r="A89" s="122">
        <f>历资表!A89</f>
        <v/>
      </c>
      <c r="B89" s="156">
        <f>历资表!B89</f>
        <v/>
      </c>
      <c r="C89" s="149" t="n"/>
      <c r="D89" s="151">
        <f>B89-C89</f>
        <v/>
      </c>
      <c r="E89" s="156">
        <f>历资表!C89</f>
        <v/>
      </c>
      <c r="F89" s="149" t="n"/>
      <c r="G89" s="151">
        <f>E89-F89</f>
        <v/>
      </c>
      <c r="H89" s="156">
        <f>历资表!D89</f>
        <v/>
      </c>
      <c r="I89" s="149" t="n"/>
      <c r="J89" s="151">
        <f>H89-I89</f>
        <v/>
      </c>
      <c r="K89" s="156">
        <f>历资表!E89</f>
        <v/>
      </c>
      <c r="L89" s="149" t="n"/>
      <c r="M89" s="151">
        <f>K89-L89</f>
        <v/>
      </c>
      <c r="N89" s="149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</row>
    <row r="90">
      <c r="A90" s="122">
        <f>历资表!A90</f>
        <v/>
      </c>
      <c r="B90" s="156">
        <f>历资表!B90</f>
        <v/>
      </c>
      <c r="C90" s="149" t="n"/>
      <c r="D90" s="151">
        <f>B90-C90</f>
        <v/>
      </c>
      <c r="E90" s="156">
        <f>历资表!C90</f>
        <v/>
      </c>
      <c r="F90" s="149" t="n"/>
      <c r="G90" s="151">
        <f>E90-F90</f>
        <v/>
      </c>
      <c r="H90" s="156">
        <f>历资表!D90</f>
        <v/>
      </c>
      <c r="I90" s="149" t="n"/>
      <c r="J90" s="151">
        <f>H90-I90</f>
        <v/>
      </c>
      <c r="K90" s="156">
        <f>历资表!E90</f>
        <v/>
      </c>
      <c r="L90" s="149" t="n"/>
      <c r="M90" s="151">
        <f>K90-L90</f>
        <v/>
      </c>
      <c r="N90" s="149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</row>
    <row r="91">
      <c r="A91" s="122">
        <f>历资表!A91</f>
        <v/>
      </c>
      <c r="B91" s="156">
        <f>历资表!B91</f>
        <v/>
      </c>
      <c r="C91" s="149" t="n"/>
      <c r="D91" s="151">
        <f>B91-C91</f>
        <v/>
      </c>
      <c r="E91" s="156">
        <f>历资表!C91</f>
        <v/>
      </c>
      <c r="F91" s="149" t="n"/>
      <c r="G91" s="151">
        <f>E91-F91</f>
        <v/>
      </c>
      <c r="H91" s="156">
        <f>历资表!D91</f>
        <v/>
      </c>
      <c r="I91" s="149" t="n"/>
      <c r="J91" s="151">
        <f>H91-I91</f>
        <v/>
      </c>
      <c r="K91" s="156">
        <f>历资表!E91</f>
        <v/>
      </c>
      <c r="L91" s="149" t="n"/>
      <c r="M91" s="151">
        <f>K91-L91</f>
        <v/>
      </c>
      <c r="N91" s="149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</row>
    <row r="92">
      <c r="A92" s="122">
        <f>历资表!A92</f>
        <v/>
      </c>
      <c r="B92" s="156">
        <f>历资表!B92</f>
        <v/>
      </c>
      <c r="C92" s="149" t="n"/>
      <c r="D92" s="151">
        <f>B92-C92</f>
        <v/>
      </c>
      <c r="E92" s="156">
        <f>历资表!C92</f>
        <v/>
      </c>
      <c r="F92" s="149" t="n"/>
      <c r="G92" s="151">
        <f>E92-F92</f>
        <v/>
      </c>
      <c r="H92" s="156">
        <f>历资表!D92</f>
        <v/>
      </c>
      <c r="I92" s="149" t="n"/>
      <c r="J92" s="151">
        <f>H92-I92</f>
        <v/>
      </c>
      <c r="K92" s="156">
        <f>历资表!E92</f>
        <v/>
      </c>
      <c r="L92" s="149" t="n"/>
      <c r="M92" s="151">
        <f>K92-L92</f>
        <v/>
      </c>
      <c r="N92" s="149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</row>
    <row r="93">
      <c r="A93" s="122">
        <f>历资表!A93</f>
        <v/>
      </c>
      <c r="B93" s="156">
        <f>历资表!B93</f>
        <v/>
      </c>
      <c r="C93" s="149" t="n"/>
      <c r="D93" s="151">
        <f>B93-C93</f>
        <v/>
      </c>
      <c r="E93" s="156">
        <f>历资表!C93</f>
        <v/>
      </c>
      <c r="F93" s="149" t="n"/>
      <c r="G93" s="151">
        <f>E93-F93</f>
        <v/>
      </c>
      <c r="H93" s="156">
        <f>历资表!D93</f>
        <v/>
      </c>
      <c r="I93" s="149" t="n"/>
      <c r="J93" s="151">
        <f>H93-I93</f>
        <v/>
      </c>
      <c r="K93" s="156">
        <f>历资表!E93</f>
        <v/>
      </c>
      <c r="L93" s="149" t="n"/>
      <c r="M93" s="151">
        <f>K93-L93</f>
        <v/>
      </c>
      <c r="N93" s="149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</row>
    <row r="94">
      <c r="A94" s="122">
        <f>历资表!A94</f>
        <v/>
      </c>
      <c r="B94" s="156">
        <f>历资表!B94</f>
        <v/>
      </c>
      <c r="C94" s="149" t="n"/>
      <c r="D94" s="151">
        <f>B94-C94</f>
        <v/>
      </c>
      <c r="E94" s="156">
        <f>历资表!C94</f>
        <v/>
      </c>
      <c r="F94" s="149" t="n"/>
      <c r="G94" s="151">
        <f>E94-F94</f>
        <v/>
      </c>
      <c r="H94" s="156">
        <f>历资表!D94</f>
        <v/>
      </c>
      <c r="I94" s="149" t="n"/>
      <c r="J94" s="151">
        <f>H94-I94</f>
        <v/>
      </c>
      <c r="K94" s="156">
        <f>历资表!E94</f>
        <v/>
      </c>
      <c r="L94" s="149" t="n"/>
      <c r="M94" s="151">
        <f>K94-L94</f>
        <v/>
      </c>
      <c r="N94" s="149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</row>
    <row r="95">
      <c r="A95" s="122">
        <f>历资表!A95</f>
        <v/>
      </c>
      <c r="B95" s="156">
        <f>历资表!B95</f>
        <v/>
      </c>
      <c r="C95" s="149" t="n"/>
      <c r="D95" s="151">
        <f>B95-C95</f>
        <v/>
      </c>
      <c r="E95" s="156">
        <f>历资表!C95</f>
        <v/>
      </c>
      <c r="F95" s="149" t="n"/>
      <c r="G95" s="151">
        <f>E95-F95</f>
        <v/>
      </c>
      <c r="H95" s="156">
        <f>历资表!D95</f>
        <v/>
      </c>
      <c r="I95" s="149" t="n"/>
      <c r="J95" s="151">
        <f>H95-I95</f>
        <v/>
      </c>
      <c r="K95" s="156">
        <f>历资表!E95</f>
        <v/>
      </c>
      <c r="L95" s="149" t="n"/>
      <c r="M95" s="151">
        <f>K95-L95</f>
        <v/>
      </c>
      <c r="N95" s="149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</row>
    <row r="96">
      <c r="A96" s="122">
        <f>历资表!A96</f>
        <v/>
      </c>
      <c r="B96" s="156">
        <f>历资表!B96</f>
        <v/>
      </c>
      <c r="C96" s="156">
        <f>C85+C86+C89-C90+C91+C92+C93+C94+C95</f>
        <v/>
      </c>
      <c r="D96" s="151">
        <f>B96-C96</f>
        <v/>
      </c>
      <c r="E96" s="156">
        <f>历资表!C96</f>
        <v/>
      </c>
      <c r="F96" s="156">
        <f>F85+F86+F89-F90+F91+F92+F93+F94+F95</f>
        <v/>
      </c>
      <c r="G96" s="151">
        <f>E96-F96</f>
        <v/>
      </c>
      <c r="H96" s="156">
        <f>历资表!D96</f>
        <v/>
      </c>
      <c r="I96" s="156">
        <f>I85+I86+I89-I90+I91+I92+I93+I94+I95</f>
        <v/>
      </c>
      <c r="J96" s="151">
        <f>H96-I96</f>
        <v/>
      </c>
      <c r="K96" s="156">
        <f>历资表!E96</f>
        <v/>
      </c>
      <c r="L96" s="156">
        <f>L85+L86+L89-L90+L91+L92+L93+L94+L95</f>
        <v/>
      </c>
      <c r="M96" s="151">
        <f>K96-L96</f>
        <v/>
      </c>
      <c r="N96" s="149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</row>
    <row r="97">
      <c r="A97" s="122">
        <f>历资表!A97</f>
        <v/>
      </c>
      <c r="B97" s="156">
        <f>历资表!B97</f>
        <v/>
      </c>
      <c r="C97" s="149" t="n"/>
      <c r="D97" s="151">
        <f>B97-C97</f>
        <v/>
      </c>
      <c r="E97" s="156">
        <f>历资表!C97</f>
        <v/>
      </c>
      <c r="F97" s="149" t="n"/>
      <c r="G97" s="151">
        <f>E97-F97</f>
        <v/>
      </c>
      <c r="H97" s="156">
        <f>历资表!D97</f>
        <v/>
      </c>
      <c r="I97" s="149" t="n"/>
      <c r="J97" s="151">
        <f>H97-I97</f>
        <v/>
      </c>
      <c r="K97" s="156">
        <f>历资表!E97</f>
        <v/>
      </c>
      <c r="L97" s="149" t="n"/>
      <c r="M97" s="151">
        <f>K97-L97</f>
        <v/>
      </c>
      <c r="N97" s="149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</row>
    <row r="98">
      <c r="A98" s="136">
        <f>历资表!A98</f>
        <v/>
      </c>
      <c r="B98" s="157">
        <f>历资表!B98</f>
        <v/>
      </c>
      <c r="C98" s="157">
        <f>SUM(C96:C97)</f>
        <v/>
      </c>
      <c r="D98" s="150">
        <f>B98-C98</f>
        <v/>
      </c>
      <c r="E98" s="157">
        <f>历资表!C98</f>
        <v/>
      </c>
      <c r="F98" s="157">
        <f>SUM(F96:F97)</f>
        <v/>
      </c>
      <c r="G98" s="150">
        <f>E98-F98</f>
        <v/>
      </c>
      <c r="H98" s="157">
        <f>历资表!D98</f>
        <v/>
      </c>
      <c r="I98" s="157">
        <f>SUM(I96:I97)</f>
        <v/>
      </c>
      <c r="J98" s="150">
        <f>H98-I98</f>
        <v/>
      </c>
      <c r="K98" s="157">
        <f>历资表!E98</f>
        <v/>
      </c>
      <c r="L98" s="157">
        <f>SUM(L96:L97)</f>
        <v/>
      </c>
      <c r="M98" s="150">
        <f>K98-L98</f>
        <v/>
      </c>
      <c r="N98" s="153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</row>
    <row r="99">
      <c r="A99" s="136">
        <f>历资表!A99</f>
        <v/>
      </c>
      <c r="B99" s="157">
        <f>历资表!B99</f>
        <v/>
      </c>
      <c r="C99" s="157">
        <f>C83+C98</f>
        <v/>
      </c>
      <c r="D99" s="150">
        <f>B99-C99</f>
        <v/>
      </c>
      <c r="E99" s="157">
        <f>历资表!C99</f>
        <v/>
      </c>
      <c r="F99" s="157">
        <f>F83+F98</f>
        <v/>
      </c>
      <c r="G99" s="150">
        <f>E99-F99</f>
        <v/>
      </c>
      <c r="H99" s="157">
        <f>历资表!D99</f>
        <v/>
      </c>
      <c r="I99" s="157">
        <f>I83+I98</f>
        <v/>
      </c>
      <c r="J99" s="150">
        <f>H99-I99</f>
        <v/>
      </c>
      <c r="K99" s="157">
        <f>历资表!E99</f>
        <v/>
      </c>
      <c r="L99" s="157">
        <f>L83+L98</f>
        <v/>
      </c>
      <c r="M99" s="150">
        <f>K99-L99</f>
        <v/>
      </c>
      <c r="N99" s="153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</row>
    <row r="100">
      <c r="A100" s="66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</row>
    <row r="101">
      <c r="A101" s="31" t="inlineStr">
        <is>
          <t>核对</t>
        </is>
      </c>
      <c r="B101" s="152">
        <f>SUM(历资表!B6:'历资表'!B99)-SUM(B6:B99)</f>
        <v/>
      </c>
      <c r="C101" s="5" t="n"/>
      <c r="D101" s="152">
        <f>D47-D99</f>
        <v/>
      </c>
      <c r="E101" s="152">
        <f>SUM(历资表!C6:'历资表'!C99)-SUM(E6:E99)</f>
        <v/>
      </c>
      <c r="F101" s="5" t="n"/>
      <c r="G101" s="152">
        <f>G47-G99</f>
        <v/>
      </c>
      <c r="H101" s="152">
        <f>SUM(历资表!D6:'历资表'!D99)-SUM(H6:H99)</f>
        <v/>
      </c>
      <c r="I101" s="5" t="n"/>
      <c r="J101" s="152">
        <f>J47-J99</f>
        <v/>
      </c>
      <c r="K101" s="152">
        <f>SUM(历资表!E6:'历资表'!E99)-SUM(K6:K99)</f>
        <v/>
      </c>
      <c r="L101" s="5" t="n"/>
      <c r="M101" s="152">
        <f>M47-M99</f>
        <v/>
      </c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N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  <c r="AN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N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N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N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N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  <c r="AN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N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N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N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N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N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N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  <c r="AN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N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N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N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N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N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N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N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  <c r="AN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  <c r="AN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  <c r="AN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N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  <c r="AN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N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  <c r="AN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N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N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N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N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N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N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  <c r="AN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N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N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8">
    <mergeCell ref="K4:M4"/>
    <mergeCell ref="A4:A5"/>
    <mergeCell ref="A2:N2"/>
    <mergeCell ref="B4:D4"/>
    <mergeCell ref="H4:J4"/>
    <mergeCell ref="N4:N5"/>
    <mergeCell ref="E4:G4"/>
    <mergeCell ref="A1:N1"/>
  </mergeCells>
  <conditionalFormatting sqref="B101">
    <cfRule type="cellIs" priority="1" operator="notEqual" dxfId="0">
      <formula>0</formula>
    </cfRule>
  </conditionalFormatting>
  <conditionalFormatting sqref="D101:E101">
    <cfRule type="cellIs" priority="2" operator="notEqual" dxfId="0">
      <formula>0</formula>
    </cfRule>
  </conditionalFormatting>
  <conditionalFormatting sqref="G101:H101">
    <cfRule type="cellIs" priority="3" operator="notEqual" dxfId="0">
      <formula>0</formula>
    </cfRule>
  </conditionalFormatting>
  <conditionalFormatting sqref="J101:K101">
    <cfRule type="cellIs" priority="4" operator="notEqual" dxfId="0">
      <formula>0</formula>
    </cfRule>
  </conditionalFormatting>
  <conditionalFormatting sqref="M101">
    <cfRule type="cellIs" priority="8" operator="notEqual" dxfId="0">
      <formula>0</formula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G7" sqref="G7"/>
    </sheetView>
  </sheetViews>
  <sheetFormatPr baseColWidth="8" defaultColWidth="9.109375" defaultRowHeight="14.4"/>
  <cols>
    <col width="35" customWidth="1" style="1" min="1" max="1"/>
    <col width="15" customWidth="1" style="1" min="2" max="14"/>
    <col width="9.109375" customWidth="1" style="1" min="15" max="15"/>
    <col width="9.109375" customWidth="1" style="1" min="16" max="16384"/>
  </cols>
  <sheetData>
    <row r="1" ht="17.4" customHeight="1">
      <c r="A1" s="119" t="inlineStr">
        <is>
          <t>历史损益调整分析表</t>
        </is>
      </c>
      <c r="O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N3" s="3">
        <f>"金额单位："&amp;项目信息!B8&amp;""</f>
        <v/>
      </c>
    </row>
    <row r="4">
      <c r="A4" s="121" t="inlineStr">
        <is>
          <t>项目\年份</t>
        </is>
      </c>
      <c r="B4" s="121" t="inlineStr">
        <is>
          <t>2022年度</t>
        </is>
      </c>
      <c r="C4" s="154" t="n"/>
      <c r="D4" s="155" t="n"/>
      <c r="E4" s="121" t="inlineStr">
        <is>
          <t>2023年度</t>
        </is>
      </c>
      <c r="F4" s="154" t="n"/>
      <c r="G4" s="155" t="n"/>
      <c r="H4" s="121" t="inlineStr">
        <is>
          <t>2024年度</t>
        </is>
      </c>
      <c r="I4" s="154" t="n"/>
      <c r="J4" s="155" t="n"/>
      <c r="K4" s="121" t="inlineStr">
        <is>
          <t>2025年1-6月</t>
        </is>
      </c>
      <c r="L4" s="154" t="n"/>
      <c r="M4" s="155" t="n"/>
      <c r="N4" s="121" t="inlineStr">
        <is>
          <t>调整分析说明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</row>
    <row r="5" ht="43.2" customHeight="1">
      <c r="A5" s="147" t="n"/>
      <c r="B5" s="67" t="inlineStr">
        <is>
          <t>账面值/审定值</t>
        </is>
      </c>
      <c r="C5" s="67" t="inlineStr">
        <is>
          <t>其中：非经营性资产产生的损益</t>
        </is>
      </c>
      <c r="D5" s="67" t="inlineStr">
        <is>
          <t>调整后损益数据</t>
        </is>
      </c>
      <c r="E5" s="67" t="inlineStr">
        <is>
          <t>账面值/审定值</t>
        </is>
      </c>
      <c r="F5" s="67" t="inlineStr">
        <is>
          <t>其中：非经营性资产产生的损益</t>
        </is>
      </c>
      <c r="G5" s="67" t="inlineStr">
        <is>
          <t>调整后损益数据</t>
        </is>
      </c>
      <c r="H5" s="67" t="inlineStr">
        <is>
          <t>账面值/审定值</t>
        </is>
      </c>
      <c r="I5" s="67" t="inlineStr">
        <is>
          <t>其中：非经营性资产产生的损益</t>
        </is>
      </c>
      <c r="J5" s="67" t="inlineStr">
        <is>
          <t>调整后损益数据</t>
        </is>
      </c>
      <c r="K5" s="67" t="inlineStr">
        <is>
          <t>账面值/审定值</t>
        </is>
      </c>
      <c r="L5" s="67" t="inlineStr">
        <is>
          <t>其中：非经营性资产产生的损益</t>
        </is>
      </c>
      <c r="M5" s="67" t="inlineStr">
        <is>
          <t>调整后损益数据</t>
        </is>
      </c>
      <c r="N5" s="147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</row>
    <row r="6">
      <c r="A6" s="136">
        <f>历利表!A6</f>
        <v/>
      </c>
      <c r="B6" s="157">
        <f>历利表!B6</f>
        <v/>
      </c>
      <c r="C6" s="157">
        <f>C7+SUM(C10:C12)</f>
        <v/>
      </c>
      <c r="D6" s="150">
        <f>B6-C6</f>
        <v/>
      </c>
      <c r="E6" s="157">
        <f>历利表!C6</f>
        <v/>
      </c>
      <c r="F6" s="157">
        <f>F7+SUM(F10:F12)</f>
        <v/>
      </c>
      <c r="G6" s="150">
        <f>E6-F6</f>
        <v/>
      </c>
      <c r="H6" s="157">
        <f>历利表!D6</f>
        <v/>
      </c>
      <c r="I6" s="157">
        <f>I7+SUM(I10:I12)</f>
        <v/>
      </c>
      <c r="J6" s="150">
        <f>H6-I6</f>
        <v/>
      </c>
      <c r="K6" s="157">
        <f>历利表!E6</f>
        <v/>
      </c>
      <c r="L6" s="157">
        <f>L7+SUM(L10:L12)</f>
        <v/>
      </c>
      <c r="M6" s="150">
        <f>K6-L6</f>
        <v/>
      </c>
      <c r="N6" s="153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</row>
    <row r="7">
      <c r="A7" s="122">
        <f>历利表!A7</f>
        <v/>
      </c>
      <c r="B7" s="156">
        <f>历利表!B7</f>
        <v/>
      </c>
      <c r="C7" s="156">
        <f>C8+C9</f>
        <v/>
      </c>
      <c r="D7" s="151">
        <f>B7-C7</f>
        <v/>
      </c>
      <c r="E7" s="156">
        <f>历利表!C7</f>
        <v/>
      </c>
      <c r="F7" s="156">
        <f>F8+F9</f>
        <v/>
      </c>
      <c r="G7" s="151">
        <f>E7-F7</f>
        <v/>
      </c>
      <c r="H7" s="156">
        <f>历利表!D7</f>
        <v/>
      </c>
      <c r="I7" s="156">
        <f>I8+I9</f>
        <v/>
      </c>
      <c r="J7" s="151">
        <f>H7-I7</f>
        <v/>
      </c>
      <c r="K7" s="156">
        <f>历利表!E7</f>
        <v/>
      </c>
      <c r="L7" s="156">
        <f>L8+L9</f>
        <v/>
      </c>
      <c r="M7" s="151">
        <f>K7-L7</f>
        <v/>
      </c>
      <c r="N7" s="149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</row>
    <row r="8">
      <c r="A8" s="122">
        <f>历利表!A8</f>
        <v/>
      </c>
      <c r="B8" s="156">
        <f>历利表!B8</f>
        <v/>
      </c>
      <c r="C8" s="149" t="n"/>
      <c r="D8" s="151">
        <f>B8-C8</f>
        <v/>
      </c>
      <c r="E8" s="156">
        <f>历利表!C8</f>
        <v/>
      </c>
      <c r="F8" s="149" t="n"/>
      <c r="G8" s="151">
        <f>E8-F8</f>
        <v/>
      </c>
      <c r="H8" s="156">
        <f>历利表!D8</f>
        <v/>
      </c>
      <c r="I8" s="149" t="n"/>
      <c r="J8" s="151">
        <f>H8-I8</f>
        <v/>
      </c>
      <c r="K8" s="156">
        <f>历利表!E8</f>
        <v/>
      </c>
      <c r="L8" s="149" t="n"/>
      <c r="M8" s="151">
        <f>K8-L8</f>
        <v/>
      </c>
      <c r="N8" s="149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</row>
    <row r="9">
      <c r="A9" s="122">
        <f>历利表!A9</f>
        <v/>
      </c>
      <c r="B9" s="156">
        <f>历利表!B9</f>
        <v/>
      </c>
      <c r="C9" s="149" t="n"/>
      <c r="D9" s="151">
        <f>B9-C9</f>
        <v/>
      </c>
      <c r="E9" s="156">
        <f>历利表!C9</f>
        <v/>
      </c>
      <c r="F9" s="149" t="n"/>
      <c r="G9" s="151">
        <f>E9-F9</f>
        <v/>
      </c>
      <c r="H9" s="156">
        <f>历利表!D9</f>
        <v/>
      </c>
      <c r="I9" s="149" t="n"/>
      <c r="J9" s="151">
        <f>H9-I9</f>
        <v/>
      </c>
      <c r="K9" s="156">
        <f>历利表!E9</f>
        <v/>
      </c>
      <c r="L9" s="149" t="n"/>
      <c r="M9" s="151">
        <f>K9-L9</f>
        <v/>
      </c>
      <c r="N9" s="149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</row>
    <row r="10">
      <c r="A10" s="122">
        <f>历利表!A10</f>
        <v/>
      </c>
      <c r="B10" s="156">
        <f>历利表!B10</f>
        <v/>
      </c>
      <c r="C10" s="149" t="n"/>
      <c r="D10" s="151">
        <f>B10-C10</f>
        <v/>
      </c>
      <c r="E10" s="156">
        <f>历利表!C10</f>
        <v/>
      </c>
      <c r="F10" s="149" t="n"/>
      <c r="G10" s="151">
        <f>E10-F10</f>
        <v/>
      </c>
      <c r="H10" s="156">
        <f>历利表!D10</f>
        <v/>
      </c>
      <c r="I10" s="149" t="n"/>
      <c r="J10" s="151">
        <f>H10-I10</f>
        <v/>
      </c>
      <c r="K10" s="156">
        <f>历利表!E10</f>
        <v/>
      </c>
      <c r="L10" s="149" t="n"/>
      <c r="M10" s="151">
        <f>K10-L10</f>
        <v/>
      </c>
      <c r="N10" s="149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</row>
    <row r="11">
      <c r="A11" s="122">
        <f>历利表!A11</f>
        <v/>
      </c>
      <c r="B11" s="156">
        <f>历利表!B11</f>
        <v/>
      </c>
      <c r="C11" s="149" t="n"/>
      <c r="D11" s="151">
        <f>B11-C11</f>
        <v/>
      </c>
      <c r="E11" s="156">
        <f>历利表!C11</f>
        <v/>
      </c>
      <c r="F11" s="149" t="n"/>
      <c r="G11" s="151">
        <f>E11-F11</f>
        <v/>
      </c>
      <c r="H11" s="156">
        <f>历利表!D11</f>
        <v/>
      </c>
      <c r="I11" s="149" t="n"/>
      <c r="J11" s="151">
        <f>H11-I11</f>
        <v/>
      </c>
      <c r="K11" s="156">
        <f>历利表!E11</f>
        <v/>
      </c>
      <c r="L11" s="149" t="n"/>
      <c r="M11" s="151">
        <f>K11-L11</f>
        <v/>
      </c>
      <c r="N11" s="149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</row>
    <row r="12">
      <c r="A12" s="122">
        <f>历利表!A12</f>
        <v/>
      </c>
      <c r="B12" s="156">
        <f>历利表!B12</f>
        <v/>
      </c>
      <c r="C12" s="149" t="n"/>
      <c r="D12" s="151">
        <f>B12-C12</f>
        <v/>
      </c>
      <c r="E12" s="156">
        <f>历利表!C12</f>
        <v/>
      </c>
      <c r="F12" s="149" t="n"/>
      <c r="G12" s="151">
        <f>E12-F12</f>
        <v/>
      </c>
      <c r="H12" s="156">
        <f>历利表!D12</f>
        <v/>
      </c>
      <c r="I12" s="149" t="n"/>
      <c r="J12" s="151">
        <f>H12-I12</f>
        <v/>
      </c>
      <c r="K12" s="156">
        <f>历利表!E12</f>
        <v/>
      </c>
      <c r="L12" s="149" t="n"/>
      <c r="M12" s="151">
        <f>K12-L12</f>
        <v/>
      </c>
      <c r="N12" s="149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</row>
    <row r="13">
      <c r="A13" s="136">
        <f>历利表!A13</f>
        <v/>
      </c>
      <c r="B13" s="157">
        <f>历利表!B13</f>
        <v/>
      </c>
      <c r="C13" s="157">
        <f>C14+SUM(C17:C28)</f>
        <v/>
      </c>
      <c r="D13" s="150">
        <f>B13-C13</f>
        <v/>
      </c>
      <c r="E13" s="157">
        <f>历利表!C13</f>
        <v/>
      </c>
      <c r="F13" s="157">
        <f>F14+SUM(F17:F28)</f>
        <v/>
      </c>
      <c r="G13" s="150">
        <f>E13-F13</f>
        <v/>
      </c>
      <c r="H13" s="157">
        <f>历利表!D13</f>
        <v/>
      </c>
      <c r="I13" s="157">
        <f>I14+SUM(I17:I28)</f>
        <v/>
      </c>
      <c r="J13" s="150">
        <f>H13-I13</f>
        <v/>
      </c>
      <c r="K13" s="157">
        <f>历利表!E13</f>
        <v/>
      </c>
      <c r="L13" s="157">
        <f>L14+SUM(L17:L28)</f>
        <v/>
      </c>
      <c r="M13" s="150">
        <f>K13-L13</f>
        <v/>
      </c>
      <c r="N13" s="153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</row>
    <row r="14">
      <c r="A14" s="122">
        <f>历利表!A14</f>
        <v/>
      </c>
      <c r="B14" s="156">
        <f>历利表!B14</f>
        <v/>
      </c>
      <c r="C14" s="156">
        <f>C15+C16</f>
        <v/>
      </c>
      <c r="D14" s="151">
        <f>B14-C14</f>
        <v/>
      </c>
      <c r="E14" s="156">
        <f>历利表!C14</f>
        <v/>
      </c>
      <c r="F14" s="156">
        <f>F15+F16</f>
        <v/>
      </c>
      <c r="G14" s="151">
        <f>E14-F14</f>
        <v/>
      </c>
      <c r="H14" s="156">
        <f>历利表!D14</f>
        <v/>
      </c>
      <c r="I14" s="156">
        <f>I15+I16</f>
        <v/>
      </c>
      <c r="J14" s="151">
        <f>H14-I14</f>
        <v/>
      </c>
      <c r="K14" s="156">
        <f>历利表!E14</f>
        <v/>
      </c>
      <c r="L14" s="156">
        <f>L15+L16</f>
        <v/>
      </c>
      <c r="M14" s="151">
        <f>K14-L14</f>
        <v/>
      </c>
      <c r="N14" s="149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</row>
    <row r="15">
      <c r="A15" s="122">
        <f>历利表!A15</f>
        <v/>
      </c>
      <c r="B15" s="156">
        <f>历利表!B15</f>
        <v/>
      </c>
      <c r="C15" s="149" t="n"/>
      <c r="D15" s="151">
        <f>B15-C15</f>
        <v/>
      </c>
      <c r="E15" s="156">
        <f>历利表!C15</f>
        <v/>
      </c>
      <c r="F15" s="149" t="n"/>
      <c r="G15" s="151">
        <f>E15-F15</f>
        <v/>
      </c>
      <c r="H15" s="156">
        <f>历利表!D15</f>
        <v/>
      </c>
      <c r="I15" s="149" t="n"/>
      <c r="J15" s="151">
        <f>H15-I15</f>
        <v/>
      </c>
      <c r="K15" s="156">
        <f>历利表!E15</f>
        <v/>
      </c>
      <c r="L15" s="149" t="n"/>
      <c r="M15" s="151">
        <f>K15-L15</f>
        <v/>
      </c>
      <c r="N15" s="149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</row>
    <row r="16">
      <c r="A16" s="122">
        <f>历利表!A16</f>
        <v/>
      </c>
      <c r="B16" s="156">
        <f>历利表!B16</f>
        <v/>
      </c>
      <c r="C16" s="149" t="n"/>
      <c r="D16" s="151">
        <f>B16-C16</f>
        <v/>
      </c>
      <c r="E16" s="156">
        <f>历利表!C16</f>
        <v/>
      </c>
      <c r="F16" s="149" t="n"/>
      <c r="G16" s="151">
        <f>E16-F16</f>
        <v/>
      </c>
      <c r="H16" s="156">
        <f>历利表!D16</f>
        <v/>
      </c>
      <c r="I16" s="149" t="n"/>
      <c r="J16" s="151">
        <f>H16-I16</f>
        <v/>
      </c>
      <c r="K16" s="156">
        <f>历利表!E16</f>
        <v/>
      </c>
      <c r="L16" s="149" t="n"/>
      <c r="M16" s="151">
        <f>K16-L16</f>
        <v/>
      </c>
      <c r="N16" s="149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</row>
    <row r="17">
      <c r="A17" s="122">
        <f>历利表!A17</f>
        <v/>
      </c>
      <c r="B17" s="156">
        <f>历利表!B17</f>
        <v/>
      </c>
      <c r="C17" s="149" t="n"/>
      <c r="D17" s="151">
        <f>B17-C17</f>
        <v/>
      </c>
      <c r="E17" s="156">
        <f>历利表!C17</f>
        <v/>
      </c>
      <c r="F17" s="149" t="n"/>
      <c r="G17" s="151">
        <f>E17-F17</f>
        <v/>
      </c>
      <c r="H17" s="156">
        <f>历利表!D17</f>
        <v/>
      </c>
      <c r="I17" s="149" t="n"/>
      <c r="J17" s="151">
        <f>H17-I17</f>
        <v/>
      </c>
      <c r="K17" s="156">
        <f>历利表!E17</f>
        <v/>
      </c>
      <c r="L17" s="149" t="n"/>
      <c r="M17" s="151">
        <f>K17-L17</f>
        <v/>
      </c>
      <c r="N17" s="149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</row>
    <row r="18">
      <c r="A18" s="122">
        <f>历利表!A18</f>
        <v/>
      </c>
      <c r="B18" s="156">
        <f>历利表!B18</f>
        <v/>
      </c>
      <c r="C18" s="149" t="n"/>
      <c r="D18" s="151">
        <f>B18-C18</f>
        <v/>
      </c>
      <c r="E18" s="156">
        <f>历利表!C18</f>
        <v/>
      </c>
      <c r="F18" s="149" t="n"/>
      <c r="G18" s="151">
        <f>E18-F18</f>
        <v/>
      </c>
      <c r="H18" s="156">
        <f>历利表!D18</f>
        <v/>
      </c>
      <c r="I18" s="149" t="n"/>
      <c r="J18" s="151">
        <f>H18-I18</f>
        <v/>
      </c>
      <c r="K18" s="156">
        <f>历利表!E18</f>
        <v/>
      </c>
      <c r="L18" s="149" t="n"/>
      <c r="M18" s="151">
        <f>K18-L18</f>
        <v/>
      </c>
      <c r="N18" s="149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</row>
    <row r="19">
      <c r="A19" s="122">
        <f>历利表!A19</f>
        <v/>
      </c>
      <c r="B19" s="156">
        <f>历利表!B19</f>
        <v/>
      </c>
      <c r="C19" s="149" t="n"/>
      <c r="D19" s="151">
        <f>B19-C19</f>
        <v/>
      </c>
      <c r="E19" s="156">
        <f>历利表!C19</f>
        <v/>
      </c>
      <c r="F19" s="149" t="n"/>
      <c r="G19" s="151">
        <f>E19-F19</f>
        <v/>
      </c>
      <c r="H19" s="156">
        <f>历利表!D19</f>
        <v/>
      </c>
      <c r="I19" s="149" t="n"/>
      <c r="J19" s="151">
        <f>H19-I19</f>
        <v/>
      </c>
      <c r="K19" s="156">
        <f>历利表!E19</f>
        <v/>
      </c>
      <c r="L19" s="149" t="n"/>
      <c r="M19" s="151">
        <f>K19-L19</f>
        <v/>
      </c>
      <c r="N19" s="149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</row>
    <row r="20">
      <c r="A20" s="122">
        <f>历利表!A20</f>
        <v/>
      </c>
      <c r="B20" s="156">
        <f>历利表!B20</f>
        <v/>
      </c>
      <c r="C20" s="149" t="n"/>
      <c r="D20" s="151">
        <f>B20-C20</f>
        <v/>
      </c>
      <c r="E20" s="156">
        <f>历利表!C20</f>
        <v/>
      </c>
      <c r="F20" s="149" t="n"/>
      <c r="G20" s="151">
        <f>E20-F20</f>
        <v/>
      </c>
      <c r="H20" s="156">
        <f>历利表!D20</f>
        <v/>
      </c>
      <c r="I20" s="149" t="n"/>
      <c r="J20" s="151">
        <f>H20-I20</f>
        <v/>
      </c>
      <c r="K20" s="156">
        <f>历利表!E20</f>
        <v/>
      </c>
      <c r="L20" s="149" t="n"/>
      <c r="M20" s="151">
        <f>K20-L20</f>
        <v/>
      </c>
      <c r="N20" s="149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</row>
    <row r="21">
      <c r="A21" s="122">
        <f>历利表!A21</f>
        <v/>
      </c>
      <c r="B21" s="156">
        <f>历利表!B21</f>
        <v/>
      </c>
      <c r="C21" s="149" t="n"/>
      <c r="D21" s="151">
        <f>B21-C21</f>
        <v/>
      </c>
      <c r="E21" s="156">
        <f>历利表!C21</f>
        <v/>
      </c>
      <c r="F21" s="149" t="n"/>
      <c r="G21" s="151">
        <f>E21-F21</f>
        <v/>
      </c>
      <c r="H21" s="156">
        <f>历利表!D21</f>
        <v/>
      </c>
      <c r="I21" s="149" t="n"/>
      <c r="J21" s="151">
        <f>H21-I21</f>
        <v/>
      </c>
      <c r="K21" s="156">
        <f>历利表!E21</f>
        <v/>
      </c>
      <c r="L21" s="149" t="n"/>
      <c r="M21" s="151">
        <f>K21-L21</f>
        <v/>
      </c>
      <c r="N21" s="149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</row>
    <row r="22">
      <c r="A22" s="122">
        <f>历利表!A22</f>
        <v/>
      </c>
      <c r="B22" s="156">
        <f>历利表!B22</f>
        <v/>
      </c>
      <c r="C22" s="149" t="n"/>
      <c r="D22" s="151">
        <f>B22-C22</f>
        <v/>
      </c>
      <c r="E22" s="156">
        <f>历利表!C22</f>
        <v/>
      </c>
      <c r="F22" s="149" t="n"/>
      <c r="G22" s="151">
        <f>E22-F22</f>
        <v/>
      </c>
      <c r="H22" s="156">
        <f>历利表!D22</f>
        <v/>
      </c>
      <c r="I22" s="149" t="n"/>
      <c r="J22" s="151">
        <f>H22-I22</f>
        <v/>
      </c>
      <c r="K22" s="156">
        <f>历利表!E22</f>
        <v/>
      </c>
      <c r="L22" s="149" t="n"/>
      <c r="M22" s="151">
        <f>K22-L22</f>
        <v/>
      </c>
      <c r="N22" s="149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</row>
    <row r="23">
      <c r="A23" s="122">
        <f>历利表!A23</f>
        <v/>
      </c>
      <c r="B23" s="156">
        <f>历利表!B23</f>
        <v/>
      </c>
      <c r="C23" s="149" t="n"/>
      <c r="D23" s="151">
        <f>B23-C23</f>
        <v/>
      </c>
      <c r="E23" s="156">
        <f>历利表!C23</f>
        <v/>
      </c>
      <c r="F23" s="149" t="n"/>
      <c r="G23" s="151">
        <f>E23-F23</f>
        <v/>
      </c>
      <c r="H23" s="156">
        <f>历利表!D23</f>
        <v/>
      </c>
      <c r="I23" s="149" t="n"/>
      <c r="J23" s="151">
        <f>H23-I23</f>
        <v/>
      </c>
      <c r="K23" s="156">
        <f>历利表!E23</f>
        <v/>
      </c>
      <c r="L23" s="149" t="n"/>
      <c r="M23" s="151">
        <f>K23-L23</f>
        <v/>
      </c>
      <c r="N23" s="149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</row>
    <row r="24">
      <c r="A24" s="122">
        <f>历利表!A24</f>
        <v/>
      </c>
      <c r="B24" s="156">
        <f>历利表!B24</f>
        <v/>
      </c>
      <c r="C24" s="149" t="n"/>
      <c r="D24" s="151">
        <f>B24-C24</f>
        <v/>
      </c>
      <c r="E24" s="156">
        <f>历利表!C24</f>
        <v/>
      </c>
      <c r="F24" s="149" t="n"/>
      <c r="G24" s="151">
        <f>E24-F24</f>
        <v/>
      </c>
      <c r="H24" s="156">
        <f>历利表!D24</f>
        <v/>
      </c>
      <c r="I24" s="149" t="n"/>
      <c r="J24" s="151">
        <f>H24-I24</f>
        <v/>
      </c>
      <c r="K24" s="156">
        <f>历利表!E24</f>
        <v/>
      </c>
      <c r="L24" s="149" t="n"/>
      <c r="M24" s="151">
        <f>K24-L24</f>
        <v/>
      </c>
      <c r="N24" s="149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</row>
    <row r="25">
      <c r="A25" s="122">
        <f>历利表!A25</f>
        <v/>
      </c>
      <c r="B25" s="156">
        <f>历利表!B25</f>
        <v/>
      </c>
      <c r="C25" s="149" t="n"/>
      <c r="D25" s="151">
        <f>B25-C25</f>
        <v/>
      </c>
      <c r="E25" s="156">
        <f>历利表!C25</f>
        <v/>
      </c>
      <c r="F25" s="149" t="n"/>
      <c r="G25" s="151">
        <f>E25-F25</f>
        <v/>
      </c>
      <c r="H25" s="156">
        <f>历利表!D25</f>
        <v/>
      </c>
      <c r="I25" s="149" t="n"/>
      <c r="J25" s="151">
        <f>H25-I25</f>
        <v/>
      </c>
      <c r="K25" s="156">
        <f>历利表!E25</f>
        <v/>
      </c>
      <c r="L25" s="149" t="n"/>
      <c r="M25" s="151">
        <f>K25-L25</f>
        <v/>
      </c>
      <c r="N25" s="149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</row>
    <row r="26">
      <c r="A26" s="122">
        <f>历利表!A26</f>
        <v/>
      </c>
      <c r="B26" s="156">
        <f>历利表!B26</f>
        <v/>
      </c>
      <c r="C26" s="149" t="n"/>
      <c r="D26" s="151">
        <f>B26-C26</f>
        <v/>
      </c>
      <c r="E26" s="156">
        <f>历利表!C26</f>
        <v/>
      </c>
      <c r="F26" s="149" t="n"/>
      <c r="G26" s="151">
        <f>E26-F26</f>
        <v/>
      </c>
      <c r="H26" s="156">
        <f>历利表!D26</f>
        <v/>
      </c>
      <c r="I26" s="149" t="n"/>
      <c r="J26" s="151">
        <f>H26-I26</f>
        <v/>
      </c>
      <c r="K26" s="156">
        <f>历利表!E26</f>
        <v/>
      </c>
      <c r="L26" s="149" t="n"/>
      <c r="M26" s="151">
        <f>K26-L26</f>
        <v/>
      </c>
      <c r="N26" s="149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</row>
    <row r="27">
      <c r="A27" s="122">
        <f>历利表!A27</f>
        <v/>
      </c>
      <c r="B27" s="156">
        <f>历利表!B27</f>
        <v/>
      </c>
      <c r="C27" s="149" t="n"/>
      <c r="D27" s="151">
        <f>B27-C27</f>
        <v/>
      </c>
      <c r="E27" s="156">
        <f>历利表!C27</f>
        <v/>
      </c>
      <c r="F27" s="149" t="n"/>
      <c r="G27" s="151">
        <f>E27-F27</f>
        <v/>
      </c>
      <c r="H27" s="156">
        <f>历利表!D27</f>
        <v/>
      </c>
      <c r="I27" s="149" t="n"/>
      <c r="J27" s="151">
        <f>H27-I27</f>
        <v/>
      </c>
      <c r="K27" s="156">
        <f>历利表!E27</f>
        <v/>
      </c>
      <c r="L27" s="149" t="n"/>
      <c r="M27" s="151">
        <f>K27-L27</f>
        <v/>
      </c>
      <c r="N27" s="149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</row>
    <row r="28">
      <c r="A28" s="122">
        <f>历利表!A28</f>
        <v/>
      </c>
      <c r="B28" s="156">
        <f>历利表!B28</f>
        <v/>
      </c>
      <c r="C28" s="149" t="n"/>
      <c r="D28" s="151">
        <f>B28-C28</f>
        <v/>
      </c>
      <c r="E28" s="156">
        <f>历利表!C28</f>
        <v/>
      </c>
      <c r="F28" s="149" t="n"/>
      <c r="G28" s="151">
        <f>E28-F28</f>
        <v/>
      </c>
      <c r="H28" s="156">
        <f>历利表!D28</f>
        <v/>
      </c>
      <c r="I28" s="149" t="n"/>
      <c r="J28" s="151">
        <f>H28-I28</f>
        <v/>
      </c>
      <c r="K28" s="156">
        <f>历利表!E28</f>
        <v/>
      </c>
      <c r="L28" s="149" t="n"/>
      <c r="M28" s="151">
        <f>K28-L28</f>
        <v/>
      </c>
      <c r="N28" s="149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</row>
    <row r="29">
      <c r="A29" s="122">
        <f>历利表!A29</f>
        <v/>
      </c>
      <c r="B29" s="156">
        <f>历利表!B29</f>
        <v/>
      </c>
      <c r="C29" s="149" t="n"/>
      <c r="D29" s="151">
        <f>B29-C29</f>
        <v/>
      </c>
      <c r="E29" s="156">
        <f>历利表!C29</f>
        <v/>
      </c>
      <c r="F29" s="149" t="n"/>
      <c r="G29" s="151">
        <f>E29-F29</f>
        <v/>
      </c>
      <c r="H29" s="156">
        <f>历利表!D29</f>
        <v/>
      </c>
      <c r="I29" s="149" t="n"/>
      <c r="J29" s="151">
        <f>H29-I29</f>
        <v/>
      </c>
      <c r="K29" s="156">
        <f>历利表!E29</f>
        <v/>
      </c>
      <c r="L29" s="149" t="n"/>
      <c r="M29" s="151">
        <f>K29-L29</f>
        <v/>
      </c>
      <c r="N29" s="149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</row>
    <row r="30">
      <c r="A30" s="122">
        <f>历利表!A30</f>
        <v/>
      </c>
      <c r="B30" s="156">
        <f>历利表!B30</f>
        <v/>
      </c>
      <c r="C30" s="149" t="n"/>
      <c r="D30" s="151">
        <f>B30-C30</f>
        <v/>
      </c>
      <c r="E30" s="156">
        <f>历利表!C30</f>
        <v/>
      </c>
      <c r="F30" s="149" t="n"/>
      <c r="G30" s="151">
        <f>E30-F30</f>
        <v/>
      </c>
      <c r="H30" s="156">
        <f>历利表!D30</f>
        <v/>
      </c>
      <c r="I30" s="149" t="n"/>
      <c r="J30" s="151">
        <f>H30-I30</f>
        <v/>
      </c>
      <c r="K30" s="156">
        <f>历利表!E30</f>
        <v/>
      </c>
      <c r="L30" s="149" t="n"/>
      <c r="M30" s="151">
        <f>K30-L30</f>
        <v/>
      </c>
      <c r="N30" s="149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</row>
    <row r="31">
      <c r="A31" s="122">
        <f>历利表!A31</f>
        <v/>
      </c>
      <c r="B31" s="156">
        <f>历利表!B31</f>
        <v/>
      </c>
      <c r="C31" s="149" t="n"/>
      <c r="D31" s="151">
        <f>B31-C31</f>
        <v/>
      </c>
      <c r="E31" s="156">
        <f>历利表!C31</f>
        <v/>
      </c>
      <c r="F31" s="149" t="n"/>
      <c r="G31" s="151">
        <f>E31-F31</f>
        <v/>
      </c>
      <c r="H31" s="156">
        <f>历利表!D31</f>
        <v/>
      </c>
      <c r="I31" s="149" t="n"/>
      <c r="J31" s="151">
        <f>H31-I31</f>
        <v/>
      </c>
      <c r="K31" s="156">
        <f>历利表!E31</f>
        <v/>
      </c>
      <c r="L31" s="149" t="n"/>
      <c r="M31" s="151">
        <f>K31-L31</f>
        <v/>
      </c>
      <c r="N31" s="149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</row>
    <row r="32">
      <c r="A32" s="122">
        <f>历利表!A32</f>
        <v/>
      </c>
      <c r="B32" s="156">
        <f>历利表!B32</f>
        <v/>
      </c>
      <c r="C32" s="149" t="n"/>
      <c r="D32" s="151">
        <f>B32-C32</f>
        <v/>
      </c>
      <c r="E32" s="156">
        <f>历利表!C32</f>
        <v/>
      </c>
      <c r="F32" s="149" t="n"/>
      <c r="G32" s="151">
        <f>E32-F32</f>
        <v/>
      </c>
      <c r="H32" s="156">
        <f>历利表!D32</f>
        <v/>
      </c>
      <c r="I32" s="149" t="n"/>
      <c r="J32" s="151">
        <f>H32-I32</f>
        <v/>
      </c>
      <c r="K32" s="156">
        <f>历利表!E32</f>
        <v/>
      </c>
      <c r="L32" s="149" t="n"/>
      <c r="M32" s="151">
        <f>K32-L32</f>
        <v/>
      </c>
      <c r="N32" s="149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</row>
    <row r="33">
      <c r="A33" s="122">
        <f>历利表!A33</f>
        <v/>
      </c>
      <c r="B33" s="156">
        <f>历利表!B33</f>
        <v/>
      </c>
      <c r="C33" s="149" t="n"/>
      <c r="D33" s="151">
        <f>B33-C33</f>
        <v/>
      </c>
      <c r="E33" s="156">
        <f>历利表!C33</f>
        <v/>
      </c>
      <c r="F33" s="149" t="n"/>
      <c r="G33" s="151">
        <f>E33-F33</f>
        <v/>
      </c>
      <c r="H33" s="156">
        <f>历利表!D33</f>
        <v/>
      </c>
      <c r="I33" s="149" t="n"/>
      <c r="J33" s="151">
        <f>H33-I33</f>
        <v/>
      </c>
      <c r="K33" s="156">
        <f>历利表!E33</f>
        <v/>
      </c>
      <c r="L33" s="149" t="n"/>
      <c r="M33" s="151">
        <f>K33-L33</f>
        <v/>
      </c>
      <c r="N33" s="149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</row>
    <row r="34">
      <c r="A34" s="122">
        <f>历利表!A34</f>
        <v/>
      </c>
      <c r="B34" s="156">
        <f>历利表!B34</f>
        <v/>
      </c>
      <c r="C34" s="149" t="n"/>
      <c r="D34" s="151">
        <f>B34-C34</f>
        <v/>
      </c>
      <c r="E34" s="156">
        <f>历利表!C34</f>
        <v/>
      </c>
      <c r="F34" s="149" t="n"/>
      <c r="G34" s="151">
        <f>E34-F34</f>
        <v/>
      </c>
      <c r="H34" s="156">
        <f>历利表!D34</f>
        <v/>
      </c>
      <c r="I34" s="149" t="n"/>
      <c r="J34" s="151">
        <f>H34-I34</f>
        <v/>
      </c>
      <c r="K34" s="156">
        <f>历利表!E34</f>
        <v/>
      </c>
      <c r="L34" s="149" t="n"/>
      <c r="M34" s="151">
        <f>K34-L34</f>
        <v/>
      </c>
      <c r="N34" s="149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</row>
    <row r="35">
      <c r="A35" s="122">
        <f>历利表!A35</f>
        <v/>
      </c>
      <c r="B35" s="156">
        <f>历利表!B35</f>
        <v/>
      </c>
      <c r="C35" s="149" t="n"/>
      <c r="D35" s="151">
        <f>B35-C35</f>
        <v/>
      </c>
      <c r="E35" s="156">
        <f>历利表!C35</f>
        <v/>
      </c>
      <c r="F35" s="149" t="n"/>
      <c r="G35" s="151">
        <f>E35-F35</f>
        <v/>
      </c>
      <c r="H35" s="156">
        <f>历利表!D35</f>
        <v/>
      </c>
      <c r="I35" s="149" t="n"/>
      <c r="J35" s="151">
        <f>H35-I35</f>
        <v/>
      </c>
      <c r="K35" s="156">
        <f>历利表!E35</f>
        <v/>
      </c>
      <c r="L35" s="149" t="n"/>
      <c r="M35" s="151">
        <f>K35-L35</f>
        <v/>
      </c>
      <c r="N35" s="149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</row>
    <row r="36">
      <c r="A36" s="122">
        <f>历利表!A36</f>
        <v/>
      </c>
      <c r="B36" s="156">
        <f>历利表!B36</f>
        <v/>
      </c>
      <c r="C36" s="149" t="n"/>
      <c r="D36" s="151">
        <f>B36-C36</f>
        <v/>
      </c>
      <c r="E36" s="156">
        <f>历利表!C36</f>
        <v/>
      </c>
      <c r="F36" s="149" t="n"/>
      <c r="G36" s="151">
        <f>E36-F36</f>
        <v/>
      </c>
      <c r="H36" s="156">
        <f>历利表!D36</f>
        <v/>
      </c>
      <c r="I36" s="149" t="n"/>
      <c r="J36" s="151">
        <f>H36-I36</f>
        <v/>
      </c>
      <c r="K36" s="156">
        <f>历利表!E36</f>
        <v/>
      </c>
      <c r="L36" s="149" t="n"/>
      <c r="M36" s="151">
        <f>K36-L36</f>
        <v/>
      </c>
      <c r="N36" s="149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</row>
    <row r="37">
      <c r="A37" s="122">
        <f>历利表!A37</f>
        <v/>
      </c>
      <c r="B37" s="156">
        <f>历利表!B37</f>
        <v/>
      </c>
      <c r="C37" s="149" t="n"/>
      <c r="D37" s="151">
        <f>B37-C37</f>
        <v/>
      </c>
      <c r="E37" s="156">
        <f>历利表!C37</f>
        <v/>
      </c>
      <c r="F37" s="149" t="n"/>
      <c r="G37" s="151">
        <f>E37-F37</f>
        <v/>
      </c>
      <c r="H37" s="156">
        <f>历利表!D37</f>
        <v/>
      </c>
      <c r="I37" s="149" t="n"/>
      <c r="J37" s="151">
        <f>H37-I37</f>
        <v/>
      </c>
      <c r="K37" s="156">
        <f>历利表!E37</f>
        <v/>
      </c>
      <c r="L37" s="149" t="n"/>
      <c r="M37" s="151">
        <f>K37-L37</f>
        <v/>
      </c>
      <c r="N37" s="149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</row>
    <row r="38">
      <c r="A38" s="122">
        <f>历利表!A38</f>
        <v/>
      </c>
      <c r="B38" s="156">
        <f>历利表!B38</f>
        <v/>
      </c>
      <c r="C38" s="149" t="n"/>
      <c r="D38" s="151">
        <f>B38-C38</f>
        <v/>
      </c>
      <c r="E38" s="156">
        <f>历利表!C38</f>
        <v/>
      </c>
      <c r="F38" s="149" t="n"/>
      <c r="G38" s="151">
        <f>E38-F38</f>
        <v/>
      </c>
      <c r="H38" s="156">
        <f>历利表!D38</f>
        <v/>
      </c>
      <c r="I38" s="149" t="n"/>
      <c r="J38" s="151">
        <f>H38-I38</f>
        <v/>
      </c>
      <c r="K38" s="156">
        <f>历利表!E38</f>
        <v/>
      </c>
      <c r="L38" s="149" t="n"/>
      <c r="M38" s="151">
        <f>K38-L38</f>
        <v/>
      </c>
      <c r="N38" s="149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</row>
    <row r="39">
      <c r="A39" s="122">
        <f>历利表!A39</f>
        <v/>
      </c>
      <c r="B39" s="156">
        <f>历利表!B39</f>
        <v/>
      </c>
      <c r="C39" s="149" t="n"/>
      <c r="D39" s="151">
        <f>B39-C39</f>
        <v/>
      </c>
      <c r="E39" s="156">
        <f>历利表!C39</f>
        <v/>
      </c>
      <c r="F39" s="149" t="n"/>
      <c r="G39" s="151">
        <f>E39-F39</f>
        <v/>
      </c>
      <c r="H39" s="156">
        <f>历利表!D39</f>
        <v/>
      </c>
      <c r="I39" s="149" t="n"/>
      <c r="J39" s="151">
        <f>H39-I39</f>
        <v/>
      </c>
      <c r="K39" s="156">
        <f>历利表!E39</f>
        <v/>
      </c>
      <c r="L39" s="149" t="n"/>
      <c r="M39" s="151">
        <f>K39-L39</f>
        <v/>
      </c>
      <c r="N39" s="149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</row>
    <row r="40">
      <c r="A40" s="122">
        <f>历利表!A40</f>
        <v/>
      </c>
      <c r="B40" s="156">
        <f>历利表!B40</f>
        <v/>
      </c>
      <c r="C40" s="149" t="n"/>
      <c r="D40" s="151">
        <f>B40-C40</f>
        <v/>
      </c>
      <c r="E40" s="156">
        <f>历利表!C40</f>
        <v/>
      </c>
      <c r="F40" s="149" t="n"/>
      <c r="G40" s="151">
        <f>E40-F40</f>
        <v/>
      </c>
      <c r="H40" s="156">
        <f>历利表!D40</f>
        <v/>
      </c>
      <c r="I40" s="149" t="n"/>
      <c r="J40" s="151">
        <f>H40-I40</f>
        <v/>
      </c>
      <c r="K40" s="156">
        <f>历利表!E40</f>
        <v/>
      </c>
      <c r="L40" s="149" t="n"/>
      <c r="M40" s="151">
        <f>K40-L40</f>
        <v/>
      </c>
      <c r="N40" s="149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</row>
    <row r="41">
      <c r="A41" s="136">
        <f>历利表!A41</f>
        <v/>
      </c>
      <c r="B41" s="157">
        <f>历利表!B41</f>
        <v/>
      </c>
      <c r="C41" s="157">
        <f>C6-C13+SUM(C31:C32)+SUM(C35:C40)</f>
        <v/>
      </c>
      <c r="D41" s="150">
        <f>B41-C41</f>
        <v/>
      </c>
      <c r="E41" s="157">
        <f>历利表!C41</f>
        <v/>
      </c>
      <c r="F41" s="157">
        <f>F6-F13+SUM(F31:F32)+SUM(F35:F40)</f>
        <v/>
      </c>
      <c r="G41" s="150">
        <f>E41-F41</f>
        <v/>
      </c>
      <c r="H41" s="157">
        <f>历利表!D41</f>
        <v/>
      </c>
      <c r="I41" s="157">
        <f>I6-I13+SUM(I31:I32)+SUM(I35:I40)</f>
        <v/>
      </c>
      <c r="J41" s="150">
        <f>H41-I41</f>
        <v/>
      </c>
      <c r="K41" s="157">
        <f>历利表!E41</f>
        <v/>
      </c>
      <c r="L41" s="157">
        <f>L6-L13+SUM(L31:L32)+SUM(L35:L40)</f>
        <v/>
      </c>
      <c r="M41" s="150">
        <f>K41-L41</f>
        <v/>
      </c>
      <c r="N41" s="153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</row>
    <row r="42">
      <c r="A42" s="122">
        <f>历利表!A42</f>
        <v/>
      </c>
      <c r="B42" s="156">
        <f>历利表!B42</f>
        <v/>
      </c>
      <c r="C42" s="149" t="n"/>
      <c r="D42" s="151">
        <f>B42-C42</f>
        <v/>
      </c>
      <c r="E42" s="156">
        <f>历利表!C42</f>
        <v/>
      </c>
      <c r="F42" s="149" t="n"/>
      <c r="G42" s="151">
        <f>E42-F42</f>
        <v/>
      </c>
      <c r="H42" s="156">
        <f>历利表!D42</f>
        <v/>
      </c>
      <c r="I42" s="149" t="n"/>
      <c r="J42" s="151">
        <f>H42-I42</f>
        <v/>
      </c>
      <c r="K42" s="156">
        <f>历利表!E42</f>
        <v/>
      </c>
      <c r="L42" s="149" t="n"/>
      <c r="M42" s="151">
        <f>K42-L42</f>
        <v/>
      </c>
      <c r="N42" s="149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</row>
    <row r="43">
      <c r="A43" s="122">
        <f>历利表!A43</f>
        <v/>
      </c>
      <c r="B43" s="156">
        <f>历利表!B43</f>
        <v/>
      </c>
      <c r="C43" s="149" t="n"/>
      <c r="D43" s="151">
        <f>B43-C43</f>
        <v/>
      </c>
      <c r="E43" s="156">
        <f>历利表!C43</f>
        <v/>
      </c>
      <c r="F43" s="149" t="n"/>
      <c r="G43" s="151">
        <f>E43-F43</f>
        <v/>
      </c>
      <c r="H43" s="156">
        <f>历利表!D43</f>
        <v/>
      </c>
      <c r="I43" s="149" t="n"/>
      <c r="J43" s="151">
        <f>H43-I43</f>
        <v/>
      </c>
      <c r="K43" s="156">
        <f>历利表!E43</f>
        <v/>
      </c>
      <c r="L43" s="149" t="n"/>
      <c r="M43" s="151">
        <f>K43-L43</f>
        <v/>
      </c>
      <c r="N43" s="149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</row>
    <row r="44">
      <c r="A44" s="136">
        <f>历利表!A44</f>
        <v/>
      </c>
      <c r="B44" s="157">
        <f>历利表!B44</f>
        <v/>
      </c>
      <c r="C44" s="157">
        <f>C41+C42-C43</f>
        <v/>
      </c>
      <c r="D44" s="150">
        <f>B44-C44</f>
        <v/>
      </c>
      <c r="E44" s="157">
        <f>历利表!C44</f>
        <v/>
      </c>
      <c r="F44" s="157">
        <f>F41+F42-F43</f>
        <v/>
      </c>
      <c r="G44" s="150">
        <f>E44-F44</f>
        <v/>
      </c>
      <c r="H44" s="157">
        <f>历利表!D44</f>
        <v/>
      </c>
      <c r="I44" s="157">
        <f>I41+I42-I43</f>
        <v/>
      </c>
      <c r="J44" s="150">
        <f>H44-I44</f>
        <v/>
      </c>
      <c r="K44" s="157">
        <f>历利表!E44</f>
        <v/>
      </c>
      <c r="L44" s="157">
        <f>L41+L42-L43</f>
        <v/>
      </c>
      <c r="M44" s="150">
        <f>K44-L44</f>
        <v/>
      </c>
      <c r="N44" s="153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</row>
    <row r="45">
      <c r="A45" s="122">
        <f>历利表!A45</f>
        <v/>
      </c>
      <c r="B45" s="156">
        <f>历利表!B45</f>
        <v/>
      </c>
      <c r="C45" s="149" t="n"/>
      <c r="D45" s="151">
        <f>B45-C45</f>
        <v/>
      </c>
      <c r="E45" s="156">
        <f>历利表!C45</f>
        <v/>
      </c>
      <c r="F45" s="149" t="n"/>
      <c r="G45" s="151">
        <f>E45-F45</f>
        <v/>
      </c>
      <c r="H45" s="156">
        <f>历利表!D45</f>
        <v/>
      </c>
      <c r="I45" s="149" t="n"/>
      <c r="J45" s="151">
        <f>H45-I45</f>
        <v/>
      </c>
      <c r="K45" s="156">
        <f>历利表!E45</f>
        <v/>
      </c>
      <c r="L45" s="149" t="n"/>
      <c r="M45" s="151">
        <f>K45-L45</f>
        <v/>
      </c>
      <c r="N45" s="149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</row>
    <row r="46">
      <c r="A46" s="136">
        <f>历利表!A46</f>
        <v/>
      </c>
      <c r="B46" s="157">
        <f>历利表!B46</f>
        <v/>
      </c>
      <c r="C46" s="157">
        <f>C44-C45</f>
        <v/>
      </c>
      <c r="D46" s="150">
        <f>B46-C46</f>
        <v/>
      </c>
      <c r="E46" s="157">
        <f>历利表!C46</f>
        <v/>
      </c>
      <c r="F46" s="157">
        <f>F44-F45</f>
        <v/>
      </c>
      <c r="G46" s="150">
        <f>E46-F46</f>
        <v/>
      </c>
      <c r="H46" s="157">
        <f>历利表!D46</f>
        <v/>
      </c>
      <c r="I46" s="157">
        <f>I44-I45</f>
        <v/>
      </c>
      <c r="J46" s="150">
        <f>H46-I46</f>
        <v/>
      </c>
      <c r="K46" s="157">
        <f>历利表!E46</f>
        <v/>
      </c>
      <c r="L46" s="157">
        <f>L44-L45</f>
        <v/>
      </c>
      <c r="M46" s="150">
        <f>K46-L46</f>
        <v/>
      </c>
      <c r="N46" s="153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</row>
    <row r="47">
      <c r="A47" s="122">
        <f>历利表!A47</f>
        <v/>
      </c>
      <c r="B47" s="156">
        <f>历利表!B47</f>
        <v/>
      </c>
      <c r="C47" s="149" t="n"/>
      <c r="D47" s="151">
        <f>B47-C47</f>
        <v/>
      </c>
      <c r="E47" s="156">
        <f>历利表!C47</f>
        <v/>
      </c>
      <c r="F47" s="149" t="n"/>
      <c r="G47" s="151">
        <f>E47-F47</f>
        <v/>
      </c>
      <c r="H47" s="156">
        <f>历利表!D47</f>
        <v/>
      </c>
      <c r="I47" s="149" t="n"/>
      <c r="J47" s="151">
        <f>H47-I47</f>
        <v/>
      </c>
      <c r="K47" s="156">
        <f>历利表!E47</f>
        <v/>
      </c>
      <c r="L47" s="149" t="n"/>
      <c r="M47" s="151">
        <f>K47-L47</f>
        <v/>
      </c>
      <c r="N47" s="149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</row>
    <row r="48">
      <c r="A48" s="122">
        <f>历利表!A48</f>
        <v/>
      </c>
      <c r="B48" s="156">
        <f>历利表!B48</f>
        <v/>
      </c>
      <c r="C48" s="149" t="n"/>
      <c r="D48" s="151">
        <f>B48-C48</f>
        <v/>
      </c>
      <c r="E48" s="156">
        <f>历利表!C48</f>
        <v/>
      </c>
      <c r="F48" s="149" t="n"/>
      <c r="G48" s="151">
        <f>E48-F48</f>
        <v/>
      </c>
      <c r="H48" s="156">
        <f>历利表!D48</f>
        <v/>
      </c>
      <c r="I48" s="149" t="n"/>
      <c r="J48" s="151">
        <f>H48-I48</f>
        <v/>
      </c>
      <c r="K48" s="156">
        <f>历利表!E48</f>
        <v/>
      </c>
      <c r="L48" s="149" t="n"/>
      <c r="M48" s="151">
        <f>K48-L48</f>
        <v/>
      </c>
      <c r="N48" s="149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</row>
    <row r="49">
      <c r="A49" s="122">
        <f>历利表!A49</f>
        <v/>
      </c>
      <c r="B49" s="156">
        <f>历利表!B49</f>
        <v/>
      </c>
      <c r="C49" s="149" t="n"/>
      <c r="D49" s="151">
        <f>B49-C49</f>
        <v/>
      </c>
      <c r="E49" s="156">
        <f>历利表!C49</f>
        <v/>
      </c>
      <c r="F49" s="149" t="n"/>
      <c r="G49" s="151">
        <f>E49-F49</f>
        <v/>
      </c>
      <c r="H49" s="156">
        <f>历利表!D49</f>
        <v/>
      </c>
      <c r="I49" s="149" t="n"/>
      <c r="J49" s="151">
        <f>H49-I49</f>
        <v/>
      </c>
      <c r="K49" s="156">
        <f>历利表!E49</f>
        <v/>
      </c>
      <c r="L49" s="149" t="n"/>
      <c r="M49" s="151">
        <f>K49-L49</f>
        <v/>
      </c>
      <c r="N49" s="149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</row>
    <row r="50">
      <c r="A50" s="136">
        <f>历利表!A50</f>
        <v/>
      </c>
      <c r="B50" s="157">
        <f>历利表!B50</f>
        <v/>
      </c>
      <c r="C50" s="157">
        <f>C46-C49</f>
        <v/>
      </c>
      <c r="D50" s="150">
        <f>B50-C50</f>
        <v/>
      </c>
      <c r="E50" s="157">
        <f>历利表!C50</f>
        <v/>
      </c>
      <c r="F50" s="157">
        <f>F46-F49</f>
        <v/>
      </c>
      <c r="G50" s="150">
        <f>E50-F50</f>
        <v/>
      </c>
      <c r="H50" s="157">
        <f>历利表!D50</f>
        <v/>
      </c>
      <c r="I50" s="157">
        <f>I46-I49</f>
        <v/>
      </c>
      <c r="J50" s="150">
        <f>H50-I50</f>
        <v/>
      </c>
      <c r="K50" s="157">
        <f>历利表!E50</f>
        <v/>
      </c>
      <c r="L50" s="157">
        <f>L46-L49</f>
        <v/>
      </c>
      <c r="M50" s="150">
        <f>K50-L50</f>
        <v/>
      </c>
      <c r="N50" s="153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</row>
    <row r="52">
      <c r="A52" s="32" t="inlineStr">
        <is>
          <t>核对</t>
        </is>
      </c>
      <c r="B52" s="152">
        <f>SUM(历利表!B6:'历利表'!B50)-SUM(B6:B50)</f>
        <v/>
      </c>
      <c r="C52" s="5" t="n"/>
      <c r="D52" s="5" t="n"/>
      <c r="E52" s="152">
        <f>SUM(历利表!C6:'历利表'!C50)-SUM(E6:E50)</f>
        <v/>
      </c>
      <c r="F52" s="5" t="n"/>
      <c r="G52" s="5" t="n"/>
      <c r="H52" s="152">
        <f>SUM(历利表!D6:'历利表'!D50)-SUM(H6:H50)</f>
        <v/>
      </c>
      <c r="I52" s="5" t="n"/>
      <c r="J52" s="5" t="n"/>
      <c r="K52" s="152">
        <f>SUM(历利表!E6:'历利表'!E50)-SUM(K6:K50)</f>
        <v/>
      </c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N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  <c r="AN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N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N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N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N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  <c r="AN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N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N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N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N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8">
    <mergeCell ref="K4:M4"/>
    <mergeCell ref="A4:A5"/>
    <mergeCell ref="A2:N2"/>
    <mergeCell ref="B4:D4"/>
    <mergeCell ref="H4:J4"/>
    <mergeCell ref="N4:N5"/>
    <mergeCell ref="E4:G4"/>
    <mergeCell ref="A1:N1"/>
  </mergeCells>
  <conditionalFormatting sqref="B52">
    <cfRule type="cellIs" priority="1" operator="notEqual" dxfId="0">
      <formula>0</formula>
    </cfRule>
  </conditionalFormatting>
  <conditionalFormatting sqref="E52">
    <cfRule type="cellIs" priority="2" operator="notEqual" dxfId="0">
      <formula>0</formula>
    </cfRule>
  </conditionalFormatting>
  <conditionalFormatting sqref="H52">
    <cfRule type="cellIs" priority="3" operator="notEqual" dxfId="0">
      <formula>0</formula>
    </cfRule>
  </conditionalFormatting>
  <conditionalFormatting sqref="K52">
    <cfRule type="cellIs" priority="4" operator="notEqual" dxfId="0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23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1"/>
    </sheetView>
  </sheetViews>
  <sheetFormatPr baseColWidth="8" defaultColWidth="9.109375" defaultRowHeight="14.4"/>
  <cols>
    <col width="35" customWidth="1" style="1" min="1" max="1"/>
    <col width="15" customWidth="1" style="1" min="2" max="5"/>
    <col width="9.109375" customWidth="1" style="1" min="6" max="6"/>
    <col width="9.109375" customWidth="1" style="1" min="7" max="16384"/>
  </cols>
  <sheetData>
    <row r="1" ht="17.4" customHeight="1">
      <c r="A1" s="119" t="inlineStr">
        <is>
          <t>评估结果汇总表</t>
        </is>
      </c>
      <c r="F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E3" s="3">
        <f>"金额单位："&amp;项目信息!B8&amp;""</f>
        <v/>
      </c>
    </row>
    <row r="4">
      <c r="A4" s="124" t="inlineStr">
        <is>
          <t>项目</t>
        </is>
      </c>
      <c r="B4" s="124" t="inlineStr">
        <is>
          <t>账面值</t>
        </is>
      </c>
      <c r="C4" s="124" t="inlineStr">
        <is>
          <t>评估值</t>
        </is>
      </c>
      <c r="D4" s="124" t="inlineStr">
        <is>
          <t>评估增减值</t>
        </is>
      </c>
      <c r="E4" s="124" t="inlineStr">
        <is>
          <t>增减值率(%)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</row>
    <row r="5">
      <c r="A5" s="122" t="inlineStr">
        <is>
          <t>流动资产</t>
        </is>
      </c>
      <c r="B5" s="156">
        <f>历资表!E26</f>
        <v/>
      </c>
      <c r="C5" s="149" t="n"/>
      <c r="D5" s="149" t="n"/>
      <c r="E5" s="149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</row>
    <row r="6">
      <c r="A6" s="122" t="inlineStr">
        <is>
          <t>非流动资产</t>
        </is>
      </c>
      <c r="B6" s="156">
        <f>历资表!E46</f>
        <v/>
      </c>
      <c r="C6" s="149" t="n"/>
      <c r="D6" s="149" t="n"/>
      <c r="E6" s="149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</row>
    <row r="7">
      <c r="A7" s="122" t="inlineStr">
        <is>
          <t>其中：可供出售金融资产</t>
        </is>
      </c>
      <c r="B7" s="156">
        <f>历资表!E28</f>
        <v/>
      </c>
      <c r="C7" s="149" t="n"/>
      <c r="D7" s="149" t="n"/>
      <c r="E7" s="149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</row>
    <row r="8">
      <c r="A8" s="122" t="inlineStr">
        <is>
          <t xml:space="preserve">      债权投资</t>
        </is>
      </c>
      <c r="B8" s="156">
        <f>历资表!E29</f>
        <v/>
      </c>
      <c r="C8" s="149" t="n"/>
      <c r="D8" s="149" t="n"/>
      <c r="E8" s="149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</row>
    <row r="9">
      <c r="A9" s="122" t="inlineStr">
        <is>
          <t xml:space="preserve">      其他债权投资</t>
        </is>
      </c>
      <c r="B9" s="156">
        <f>历资表!E30</f>
        <v/>
      </c>
      <c r="C9" s="149" t="n"/>
      <c r="D9" s="149" t="n"/>
      <c r="E9" s="149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</row>
    <row r="10">
      <c r="A10" s="122" t="inlineStr">
        <is>
          <t xml:space="preserve">      长期应收款</t>
        </is>
      </c>
      <c r="B10" s="156">
        <f>历资表!E31</f>
        <v/>
      </c>
      <c r="C10" s="149" t="n"/>
      <c r="D10" s="149" t="n"/>
      <c r="E10" s="149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</row>
    <row r="11">
      <c r="A11" s="122" t="inlineStr">
        <is>
          <t xml:space="preserve">      长期股权投资</t>
        </is>
      </c>
      <c r="B11" s="156">
        <f>历资表!E32</f>
        <v/>
      </c>
      <c r="C11" s="149" t="n"/>
      <c r="D11" s="149" t="n"/>
      <c r="E11" s="149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</row>
    <row r="12">
      <c r="A12" s="122" t="inlineStr">
        <is>
          <t xml:space="preserve">      其他权益工具投资</t>
        </is>
      </c>
      <c r="B12" s="156">
        <f>历资表!E33</f>
        <v/>
      </c>
      <c r="C12" s="149" t="n"/>
      <c r="D12" s="149" t="n"/>
      <c r="E12" s="149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</row>
    <row r="13">
      <c r="A13" s="122" t="inlineStr">
        <is>
          <t xml:space="preserve">      其他非流动金融资产</t>
        </is>
      </c>
      <c r="B13" s="156">
        <f>历资表!E34</f>
        <v/>
      </c>
      <c r="C13" s="149" t="n"/>
      <c r="D13" s="149" t="n"/>
      <c r="E13" s="149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</row>
    <row r="14">
      <c r="A14" s="122" t="inlineStr">
        <is>
          <t xml:space="preserve">      投资性房地产</t>
        </is>
      </c>
      <c r="B14" s="156">
        <f>历资表!E35</f>
        <v/>
      </c>
      <c r="C14" s="149" t="n"/>
      <c r="D14" s="149" t="n"/>
      <c r="E14" s="149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</row>
    <row r="15">
      <c r="A15" s="122" t="inlineStr">
        <is>
          <t xml:space="preserve">      固定资产净额</t>
        </is>
      </c>
      <c r="B15" s="156">
        <f>历资表!E36</f>
        <v/>
      </c>
      <c r="C15" s="149" t="n"/>
      <c r="D15" s="149" t="n"/>
      <c r="E15" s="149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</row>
    <row r="16">
      <c r="A16" s="122" t="inlineStr">
        <is>
          <t xml:space="preserve">      在建工程</t>
        </is>
      </c>
      <c r="B16" s="156">
        <f>历资表!E37</f>
        <v/>
      </c>
      <c r="C16" s="149" t="n"/>
      <c r="D16" s="149" t="n"/>
      <c r="E16" s="149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</row>
    <row r="17">
      <c r="A17" s="122" t="inlineStr">
        <is>
          <t xml:space="preserve">      工程物资</t>
        </is>
      </c>
      <c r="B17" s="156">
        <f>历资表!E38</f>
        <v/>
      </c>
      <c r="C17" s="149" t="n"/>
      <c r="D17" s="149" t="n"/>
      <c r="E17" s="149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</row>
    <row r="18">
      <c r="A18" s="122" t="inlineStr">
        <is>
          <t xml:space="preserve">      使用权资产</t>
        </is>
      </c>
      <c r="B18" s="156">
        <f>历资表!E39</f>
        <v/>
      </c>
      <c r="C18" s="149" t="n"/>
      <c r="D18" s="149" t="n"/>
      <c r="E18" s="149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</row>
    <row r="19">
      <c r="A19" s="122" t="inlineStr">
        <is>
          <t xml:space="preserve">      无形资产</t>
        </is>
      </c>
      <c r="B19" s="156">
        <f>历资表!E40</f>
        <v/>
      </c>
      <c r="C19" s="149" t="n"/>
      <c r="D19" s="149" t="n"/>
      <c r="E19" s="149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</row>
    <row r="20">
      <c r="A20" s="122" t="inlineStr">
        <is>
          <t xml:space="preserve">      开发支出</t>
        </is>
      </c>
      <c r="B20" s="156">
        <f>历资表!E41</f>
        <v/>
      </c>
      <c r="C20" s="149" t="n"/>
      <c r="D20" s="149" t="n"/>
      <c r="E20" s="149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</row>
    <row r="21">
      <c r="A21" s="122" t="inlineStr">
        <is>
          <t xml:space="preserve">      商誉</t>
        </is>
      </c>
      <c r="B21" s="156">
        <f>历资表!E42</f>
        <v/>
      </c>
      <c r="C21" s="149" t="n"/>
      <c r="D21" s="149" t="n"/>
      <c r="E21" s="149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</row>
    <row r="22">
      <c r="A22" s="122" t="inlineStr">
        <is>
          <t xml:space="preserve">      长期待摊费用</t>
        </is>
      </c>
      <c r="B22" s="156">
        <f>历资表!E43</f>
        <v/>
      </c>
      <c r="C22" s="149" t="n"/>
      <c r="D22" s="149" t="n"/>
      <c r="E22" s="149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</row>
    <row r="23">
      <c r="A23" s="122" t="inlineStr">
        <is>
          <t xml:space="preserve">      递延所得税资产</t>
        </is>
      </c>
      <c r="B23" s="156">
        <f>历资表!E44</f>
        <v/>
      </c>
      <c r="C23" s="149" t="n"/>
      <c r="D23" s="149" t="n"/>
      <c r="E23" s="149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</row>
    <row r="24">
      <c r="A24" s="122" t="inlineStr">
        <is>
          <t xml:space="preserve">      其他非流动资产</t>
        </is>
      </c>
      <c r="B24" s="156">
        <f>历资表!E45</f>
        <v/>
      </c>
      <c r="C24" s="149" t="n"/>
      <c r="D24" s="149" t="n"/>
      <c r="E24" s="149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</row>
    <row r="25">
      <c r="A25" s="122" t="inlineStr">
        <is>
          <t>资产总计</t>
        </is>
      </c>
      <c r="B25" s="151">
        <f>B5+B6</f>
        <v/>
      </c>
      <c r="C25" s="149" t="n"/>
      <c r="D25" s="149" t="n"/>
      <c r="E25" s="149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</row>
    <row r="26">
      <c r="A26" s="122" t="inlineStr">
        <is>
          <t>流动负债</t>
        </is>
      </c>
      <c r="B26" s="156">
        <f>历资表!E70</f>
        <v/>
      </c>
      <c r="C26" s="149" t="n"/>
      <c r="D26" s="149" t="n"/>
      <c r="E26" s="149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</row>
    <row r="27">
      <c r="A27" s="122" t="inlineStr">
        <is>
          <t>非流动负债</t>
        </is>
      </c>
      <c r="B27" s="156">
        <f>历资表!E82</f>
        <v/>
      </c>
      <c r="C27" s="149" t="n"/>
      <c r="D27" s="149" t="n"/>
      <c r="E27" s="149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</row>
    <row r="28">
      <c r="A28" s="122" t="inlineStr">
        <is>
          <t>负债总计</t>
        </is>
      </c>
      <c r="B28" s="151">
        <f>B27+B26</f>
        <v/>
      </c>
      <c r="C28" s="149" t="n"/>
      <c r="D28" s="149" t="n"/>
      <c r="E28" s="149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</row>
    <row r="29">
      <c r="A29" s="122" t="inlineStr">
        <is>
          <t>净资产（所有者权益）</t>
        </is>
      </c>
      <c r="B29" s="156">
        <f>历资表!E98</f>
        <v/>
      </c>
      <c r="C29" s="149" t="n"/>
      <c r="D29" s="149" t="n"/>
      <c r="E29" s="149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</row>
    <row r="30">
      <c r="A30" s="122" t="inlineStr">
        <is>
          <t>归属母公司所有者权益</t>
        </is>
      </c>
      <c r="B30" s="156">
        <f>历资表!E96</f>
        <v/>
      </c>
      <c r="C30" s="149" t="n"/>
      <c r="D30" s="151">
        <f>C30-B30</f>
        <v/>
      </c>
      <c r="E30" s="22">
        <f>D30/B30</f>
        <v/>
      </c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</row>
    <row r="31">
      <c r="A31" s="66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</row>
    <row r="32">
      <c r="A32" s="31" t="inlineStr">
        <is>
          <t>核对</t>
        </is>
      </c>
      <c r="B32" s="152">
        <f>B25-B28-B29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2">
    <mergeCell ref="A2:E2"/>
    <mergeCell ref="A1:E1"/>
  </mergeCells>
  <conditionalFormatting sqref="B32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250"/>
  <sheetViews>
    <sheetView tabSelected="1" workbookViewId="0">
      <pane xSplit="1" ySplit="5" topLeftCell="C36" activePane="bottomRight" state="frozen"/>
      <selection pane="topRight" activeCell="A1" sqref="A1"/>
      <selection pane="bottomLeft" activeCell="A1" sqref="A1"/>
      <selection pane="bottomRight" activeCell="E47" sqref="E47"/>
    </sheetView>
  </sheetViews>
  <sheetFormatPr baseColWidth="8" defaultColWidth="9.109375" defaultRowHeight="14.4"/>
  <cols>
    <col width="35" customWidth="1" style="1" min="1" max="1"/>
    <col hidden="1" width="15" customWidth="1" style="1" min="2" max="2"/>
    <col width="15" customWidth="1" style="1" min="3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净现金流计算表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121" t="inlineStr">
        <is>
          <t>项目名称</t>
        </is>
      </c>
      <c r="B4" s="121" t="n"/>
      <c r="C4" s="121" t="inlineStr">
        <is>
          <t>历史数据</t>
        </is>
      </c>
      <c r="D4" s="154" t="n"/>
      <c r="E4" s="154" t="n"/>
      <c r="F4" s="155" t="n"/>
      <c r="G4" s="124" t="inlineStr">
        <is>
          <t>未来预测</t>
        </is>
      </c>
      <c r="H4" s="154" t="n"/>
      <c r="I4" s="154" t="n"/>
      <c r="J4" s="154" t="n"/>
      <c r="K4" s="154" t="n"/>
      <c r="L4" s="154" t="n"/>
      <c r="M4" s="15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47" t="n"/>
      <c r="B5" s="121" t="n"/>
      <c r="C5" s="121" t="inlineStr">
        <is>
          <t>2022年度</t>
        </is>
      </c>
      <c r="D5" s="121" t="inlineStr">
        <is>
          <t>2023年度</t>
        </is>
      </c>
      <c r="E5" s="121" t="inlineStr">
        <is>
          <t>2024年度</t>
        </is>
      </c>
      <c r="F5" s="121" t="inlineStr">
        <is>
          <t>2025年1-6月</t>
        </is>
      </c>
      <c r="G5" s="124" t="inlineStr">
        <is>
          <t>2025年7-12月</t>
        </is>
      </c>
      <c r="H5" s="124" t="inlineStr">
        <is>
          <t>2026年度</t>
        </is>
      </c>
      <c r="I5" s="124" t="inlineStr">
        <is>
          <t>2027年度</t>
        </is>
      </c>
      <c r="J5" s="124" t="inlineStr">
        <is>
          <t>2028年度</t>
        </is>
      </c>
      <c r="K5" s="124" t="inlineStr">
        <is>
          <t>2029年度</t>
        </is>
      </c>
      <c r="L5" s="124" t="inlineStr">
        <is>
          <t>2030年度</t>
        </is>
      </c>
      <c r="M5" s="124" t="inlineStr">
        <is>
          <t>永续年度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22" t="inlineStr">
        <is>
          <t>一、营业总收入</t>
        </is>
      </c>
      <c r="B6" s="135" t="n"/>
      <c r="C6" s="151">
        <f>SUM(C7)</f>
        <v/>
      </c>
      <c r="D6" s="151">
        <f>SUM(D7)</f>
        <v/>
      </c>
      <c r="E6" s="151">
        <f>SUM(E7)</f>
        <v/>
      </c>
      <c r="F6" s="151">
        <f>SUM(F7)</f>
        <v/>
      </c>
      <c r="G6" s="151">
        <f>SUM(G7)</f>
        <v/>
      </c>
      <c r="H6" s="151">
        <f>SUM(H7)</f>
        <v/>
      </c>
      <c r="I6" s="151">
        <f>SUM(I7)</f>
        <v/>
      </c>
      <c r="J6" s="151">
        <f>SUM(J7)</f>
        <v/>
      </c>
      <c r="K6" s="151">
        <f>SUM(K7)</f>
        <v/>
      </c>
      <c r="L6" s="151">
        <f>SUM(L7)</f>
        <v/>
      </c>
      <c r="M6" s="151">
        <f>SUM(M7)</f>
        <v/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22" t="inlineStr">
        <is>
          <t xml:space="preserve">    其中：营业收入</t>
        </is>
      </c>
      <c r="B7" s="135" t="n"/>
      <c r="C7" s="156">
        <f>营业收入表!C17</f>
        <v/>
      </c>
      <c r="D7" s="156">
        <f>营业收入表!D17</f>
        <v/>
      </c>
      <c r="E7" s="156">
        <f>营业收入表!E17</f>
        <v/>
      </c>
      <c r="F7" s="156">
        <f>营业收入表!F17</f>
        <v/>
      </c>
      <c r="G7" s="156">
        <f>营业收入表!G17</f>
        <v/>
      </c>
      <c r="H7" s="156">
        <f>营业收入表!H17</f>
        <v/>
      </c>
      <c r="I7" s="156">
        <f>营业收入表!I17</f>
        <v/>
      </c>
      <c r="J7" s="156">
        <f>营业收入表!J17</f>
        <v/>
      </c>
      <c r="K7" s="156">
        <f>营业收入表!K17</f>
        <v/>
      </c>
      <c r="L7" s="156">
        <f>营业收入表!L17</f>
        <v/>
      </c>
      <c r="M7" s="156">
        <f>营业收入表!M17</f>
        <v/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22" t="inlineStr">
        <is>
          <t>二、营业总成本</t>
        </is>
      </c>
      <c r="B8" s="135" t="n"/>
      <c r="C8" s="151">
        <f>SUM(C9:C14)</f>
        <v/>
      </c>
      <c r="D8" s="151">
        <f>SUM(D9:D14)</f>
        <v/>
      </c>
      <c r="E8" s="151">
        <f>SUM(E9:E14)</f>
        <v/>
      </c>
      <c r="F8" s="151">
        <f>SUM(F9:F14)</f>
        <v/>
      </c>
      <c r="G8" s="151">
        <f>SUM(G9:G14)</f>
        <v/>
      </c>
      <c r="H8" s="151">
        <f>SUM(H9:H14)</f>
        <v/>
      </c>
      <c r="I8" s="151">
        <f>SUM(I9:I14)</f>
        <v/>
      </c>
      <c r="J8" s="151">
        <f>SUM(J9:J14)</f>
        <v/>
      </c>
      <c r="K8" s="151">
        <f>SUM(K9:K14)</f>
        <v/>
      </c>
      <c r="L8" s="151">
        <f>SUM(L9:L14)</f>
        <v/>
      </c>
      <c r="M8" s="151">
        <f>SUM(M9:M14)</f>
        <v/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22" t="inlineStr">
        <is>
          <t xml:space="preserve">    其中：营业成本</t>
        </is>
      </c>
      <c r="B9" s="135" t="n"/>
      <c r="C9" s="156">
        <f>营业成本表!C17</f>
        <v/>
      </c>
      <c r="D9" s="156">
        <f>营业成本表!D17</f>
        <v/>
      </c>
      <c r="E9" s="156">
        <f>营业成本表!E17</f>
        <v/>
      </c>
      <c r="F9" s="156">
        <f>营业成本表!F17</f>
        <v/>
      </c>
      <c r="G9" s="156">
        <f>营业成本表!G17</f>
        <v/>
      </c>
      <c r="H9" s="156">
        <f>营业成本表!H17</f>
        <v/>
      </c>
      <c r="I9" s="156">
        <f>营业成本表!I17</f>
        <v/>
      </c>
      <c r="J9" s="156">
        <f>营业成本表!J17</f>
        <v/>
      </c>
      <c r="K9" s="156">
        <f>营业成本表!K17</f>
        <v/>
      </c>
      <c r="L9" s="156">
        <f>营业成本表!L17</f>
        <v/>
      </c>
      <c r="M9" s="156">
        <f>营业成本表!M17</f>
        <v/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122" t="inlineStr">
        <is>
          <t xml:space="preserve">          税金及附加</t>
        </is>
      </c>
      <c r="B10" s="135" t="n"/>
      <c r="C10" s="156">
        <f>税金及附加表!C27</f>
        <v/>
      </c>
      <c r="D10" s="156">
        <f>税金及附加表!D27</f>
        <v/>
      </c>
      <c r="E10" s="156">
        <f>税金及附加表!E27</f>
        <v/>
      </c>
      <c r="F10" s="156">
        <f>税金及附加表!F27</f>
        <v/>
      </c>
      <c r="G10" s="156">
        <f>税金及附加表!G27</f>
        <v/>
      </c>
      <c r="H10" s="156">
        <f>税金及附加表!H27</f>
        <v/>
      </c>
      <c r="I10" s="156">
        <f>税金及附加表!I27</f>
        <v/>
      </c>
      <c r="J10" s="156">
        <f>税金及附加表!J27</f>
        <v/>
      </c>
      <c r="K10" s="156">
        <f>税金及附加表!K27</f>
        <v/>
      </c>
      <c r="L10" s="156">
        <f>税金及附加表!L27</f>
        <v/>
      </c>
      <c r="M10" s="156">
        <f>税金及附加表!M27</f>
        <v/>
      </c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122" t="inlineStr">
        <is>
          <t xml:space="preserve">          销售费用</t>
        </is>
      </c>
      <c r="B11" s="135" t="n"/>
      <c r="C11" s="156">
        <f>销售费用表!C62</f>
        <v/>
      </c>
      <c r="D11" s="156">
        <f>销售费用表!D62</f>
        <v/>
      </c>
      <c r="E11" s="156">
        <f>销售费用表!E62</f>
        <v/>
      </c>
      <c r="F11" s="156">
        <f>销售费用表!F62</f>
        <v/>
      </c>
      <c r="G11" s="156">
        <f>销售费用表!G62</f>
        <v/>
      </c>
      <c r="H11" s="156">
        <f>销售费用表!H62</f>
        <v/>
      </c>
      <c r="I11" s="156">
        <f>销售费用表!I62</f>
        <v/>
      </c>
      <c r="J11" s="156">
        <f>销售费用表!J62</f>
        <v/>
      </c>
      <c r="K11" s="156">
        <f>销售费用表!K62</f>
        <v/>
      </c>
      <c r="L11" s="156">
        <f>销售费用表!L62</f>
        <v/>
      </c>
      <c r="M11" s="156">
        <f>销售费用表!M62</f>
        <v/>
      </c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122" t="inlineStr">
        <is>
          <t xml:space="preserve">          管理费用</t>
        </is>
      </c>
      <c r="B12" s="135" t="n"/>
      <c r="C12" s="156">
        <f>管理费用表!C62</f>
        <v/>
      </c>
      <c r="D12" s="156">
        <f>管理费用表!D62</f>
        <v/>
      </c>
      <c r="E12" s="156">
        <f>管理费用表!E62</f>
        <v/>
      </c>
      <c r="F12" s="156">
        <f>管理费用表!F62</f>
        <v/>
      </c>
      <c r="G12" s="156">
        <f>管理费用表!G62</f>
        <v/>
      </c>
      <c r="H12" s="156">
        <f>管理费用表!H62</f>
        <v/>
      </c>
      <c r="I12" s="156">
        <f>管理费用表!I62</f>
        <v/>
      </c>
      <c r="J12" s="156">
        <f>管理费用表!J62</f>
        <v/>
      </c>
      <c r="K12" s="156">
        <f>管理费用表!K62</f>
        <v/>
      </c>
      <c r="L12" s="156">
        <f>管理费用表!L62</f>
        <v/>
      </c>
      <c r="M12" s="156">
        <f>管理费用表!M62</f>
        <v/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122" t="inlineStr">
        <is>
          <t xml:space="preserve">          研发费用</t>
        </is>
      </c>
      <c r="B13" s="135" t="n"/>
      <c r="C13" s="156">
        <f>研发费用表!C63</f>
        <v/>
      </c>
      <c r="D13" s="156">
        <f>研发费用表!D63</f>
        <v/>
      </c>
      <c r="E13" s="156">
        <f>研发费用表!E63</f>
        <v/>
      </c>
      <c r="F13" s="156">
        <f>研发费用表!F63</f>
        <v/>
      </c>
      <c r="G13" s="156">
        <f>研发费用表!G63</f>
        <v/>
      </c>
      <c r="H13" s="156">
        <f>研发费用表!H63</f>
        <v/>
      </c>
      <c r="I13" s="156">
        <f>研发费用表!I63</f>
        <v/>
      </c>
      <c r="J13" s="156">
        <f>研发费用表!J63</f>
        <v/>
      </c>
      <c r="K13" s="156">
        <f>研发费用表!K63</f>
        <v/>
      </c>
      <c r="L13" s="156">
        <f>研发费用表!L63</f>
        <v/>
      </c>
      <c r="M13" s="156">
        <f>研发费用表!M63</f>
        <v/>
      </c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122" t="inlineStr">
        <is>
          <t xml:space="preserve">          财务费用</t>
        </is>
      </c>
      <c r="B14" s="135" t="n"/>
      <c r="C14" s="156">
        <f>财务费用表!C15</f>
        <v/>
      </c>
      <c r="D14" s="156">
        <f>财务费用表!D15</f>
        <v/>
      </c>
      <c r="E14" s="156">
        <f>财务费用表!E15</f>
        <v/>
      </c>
      <c r="F14" s="156">
        <f>财务费用表!F15</f>
        <v/>
      </c>
      <c r="G14" s="156">
        <f>财务费用表!G15</f>
        <v/>
      </c>
      <c r="H14" s="156">
        <f>财务费用表!H15</f>
        <v/>
      </c>
      <c r="I14" s="156">
        <f>财务费用表!I15</f>
        <v/>
      </c>
      <c r="J14" s="156">
        <f>财务费用表!J15</f>
        <v/>
      </c>
      <c r="K14" s="156">
        <f>财务费用表!K15</f>
        <v/>
      </c>
      <c r="L14" s="156">
        <f>财务费用表!L15</f>
        <v/>
      </c>
      <c r="M14" s="156">
        <f>财务费用表!M15</f>
        <v/>
      </c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122" t="inlineStr">
        <is>
          <t xml:space="preserve">    加：其他收益</t>
        </is>
      </c>
      <c r="B15" s="135" t="n"/>
      <c r="C15" s="156">
        <f>其他收益表!C9</f>
        <v/>
      </c>
      <c r="D15" s="156">
        <f>其他收益表!D9</f>
        <v/>
      </c>
      <c r="E15" s="156">
        <f>其他收益表!E9</f>
        <v/>
      </c>
      <c r="F15" s="156">
        <f>其他收益表!F9</f>
        <v/>
      </c>
      <c r="G15" s="156">
        <f>其他收益表!G9</f>
        <v/>
      </c>
      <c r="H15" s="156">
        <f>其他收益表!H9</f>
        <v/>
      </c>
      <c r="I15" s="156">
        <f>其他收益表!I9</f>
        <v/>
      </c>
      <c r="J15" s="156">
        <f>其他收益表!J9</f>
        <v/>
      </c>
      <c r="K15" s="156">
        <f>其他收益表!K9</f>
        <v/>
      </c>
      <c r="L15" s="156">
        <f>其他收益表!L9</f>
        <v/>
      </c>
      <c r="M15" s="156">
        <f>其他收益表!M9</f>
        <v/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122" t="inlineStr">
        <is>
          <t xml:space="preserve">        投资收益（损失以“-”号填列）</t>
        </is>
      </c>
      <c r="B16" s="135" t="n"/>
      <c r="C16" s="156">
        <f>投资收益表!C9</f>
        <v/>
      </c>
      <c r="D16" s="156">
        <f>投资收益表!D9</f>
        <v/>
      </c>
      <c r="E16" s="156">
        <f>投资收益表!E9</f>
        <v/>
      </c>
      <c r="F16" s="156">
        <f>投资收益表!F9</f>
        <v/>
      </c>
      <c r="G16" s="156">
        <f>投资收益表!G9</f>
        <v/>
      </c>
      <c r="H16" s="156">
        <f>投资收益表!H9</f>
        <v/>
      </c>
      <c r="I16" s="156">
        <f>投资收益表!I9</f>
        <v/>
      </c>
      <c r="J16" s="156">
        <f>投资收益表!J9</f>
        <v/>
      </c>
      <c r="K16" s="156">
        <f>投资收益表!K9</f>
        <v/>
      </c>
      <c r="L16" s="156">
        <f>投资收益表!L9</f>
        <v/>
      </c>
      <c r="M16" s="156">
        <f>投资收益表!M9</f>
        <v/>
      </c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122" t="inlineStr">
        <is>
          <t xml:space="preserve">        汇兑收益（损失以“-”号填列）</t>
        </is>
      </c>
      <c r="B17" s="135" t="n"/>
      <c r="C17" s="156">
        <f>汇兑收益表!C9</f>
        <v/>
      </c>
      <c r="D17" s="156">
        <f>汇兑收益表!D9</f>
        <v/>
      </c>
      <c r="E17" s="156">
        <f>汇兑收益表!E9</f>
        <v/>
      </c>
      <c r="F17" s="156">
        <f>汇兑收益表!F9</f>
        <v/>
      </c>
      <c r="G17" s="156">
        <f>汇兑收益表!G9</f>
        <v/>
      </c>
      <c r="H17" s="156">
        <f>汇兑收益表!H9</f>
        <v/>
      </c>
      <c r="I17" s="156">
        <f>汇兑收益表!I9</f>
        <v/>
      </c>
      <c r="J17" s="156">
        <f>汇兑收益表!J9</f>
        <v/>
      </c>
      <c r="K17" s="156">
        <f>汇兑收益表!K9</f>
        <v/>
      </c>
      <c r="L17" s="156">
        <f>汇兑收益表!L9</f>
        <v/>
      </c>
      <c r="M17" s="156">
        <f>汇兑收益表!M9</f>
        <v/>
      </c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122" t="inlineStr">
        <is>
          <t xml:space="preserve">        净敞口套期收益（损失以“-”号填列）</t>
        </is>
      </c>
      <c r="B18" s="135" t="n"/>
      <c r="C18" s="156">
        <f>净敞口套期收益表!C9</f>
        <v/>
      </c>
      <c r="D18" s="156">
        <f>净敞口套期收益表!D9</f>
        <v/>
      </c>
      <c r="E18" s="156">
        <f>净敞口套期收益表!E9</f>
        <v/>
      </c>
      <c r="F18" s="156">
        <f>净敞口套期收益表!F9</f>
        <v/>
      </c>
      <c r="G18" s="156">
        <f>净敞口套期收益表!G9</f>
        <v/>
      </c>
      <c r="H18" s="156">
        <f>净敞口套期收益表!H9</f>
        <v/>
      </c>
      <c r="I18" s="156">
        <f>净敞口套期收益表!I9</f>
        <v/>
      </c>
      <c r="J18" s="156">
        <f>净敞口套期收益表!J9</f>
        <v/>
      </c>
      <c r="K18" s="156">
        <f>净敞口套期收益表!K9</f>
        <v/>
      </c>
      <c r="L18" s="156">
        <f>净敞口套期收益表!L9</f>
        <v/>
      </c>
      <c r="M18" s="156">
        <f>净敞口套期收益表!M9</f>
        <v/>
      </c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122" t="inlineStr">
        <is>
          <t xml:space="preserve">        公允价值变动收益（损失以“-”号填列）</t>
        </is>
      </c>
      <c r="B19" s="135" t="n"/>
      <c r="C19" s="156">
        <f>公允价值变动收益表!C9</f>
        <v/>
      </c>
      <c r="D19" s="156">
        <f>公允价值变动收益表!D9</f>
        <v/>
      </c>
      <c r="E19" s="156">
        <f>公允价值变动收益表!E9</f>
        <v/>
      </c>
      <c r="F19" s="156">
        <f>公允价值变动收益表!F9</f>
        <v/>
      </c>
      <c r="G19" s="156">
        <f>公允价值变动收益表!G9</f>
        <v/>
      </c>
      <c r="H19" s="156">
        <f>公允价值变动收益表!H9</f>
        <v/>
      </c>
      <c r="I19" s="156">
        <f>公允价值变动收益表!I9</f>
        <v/>
      </c>
      <c r="J19" s="156">
        <f>公允价值变动收益表!J9</f>
        <v/>
      </c>
      <c r="K19" s="156">
        <f>公允价值变动收益表!K9</f>
        <v/>
      </c>
      <c r="L19" s="156">
        <f>公允价值变动收益表!L9</f>
        <v/>
      </c>
      <c r="M19" s="156">
        <f>公允价值变动收益表!M9</f>
        <v/>
      </c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122" t="inlineStr">
        <is>
          <t xml:space="preserve">        信用减值损失（损失以“-”号填列）</t>
        </is>
      </c>
      <c r="B20" s="135" t="n"/>
      <c r="C20" s="156">
        <f>-信用减值损失表!C9</f>
        <v/>
      </c>
      <c r="D20" s="156">
        <f>-信用减值损失表!D9</f>
        <v/>
      </c>
      <c r="E20" s="156">
        <f>-信用减值损失表!E9</f>
        <v/>
      </c>
      <c r="F20" s="156">
        <f>-信用减值损失表!F9</f>
        <v/>
      </c>
      <c r="G20" s="156">
        <f>-信用减值损失表!G9</f>
        <v/>
      </c>
      <c r="H20" s="156">
        <f>-信用减值损失表!H9</f>
        <v/>
      </c>
      <c r="I20" s="156">
        <f>-信用减值损失表!I9</f>
        <v/>
      </c>
      <c r="J20" s="156">
        <f>-信用减值损失表!J9</f>
        <v/>
      </c>
      <c r="K20" s="156">
        <f>-信用减值损失表!K9</f>
        <v/>
      </c>
      <c r="L20" s="156">
        <f>-信用减值损失表!L9</f>
        <v/>
      </c>
      <c r="M20" s="156">
        <f>-信用减值损失表!M9</f>
        <v/>
      </c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122" t="inlineStr">
        <is>
          <t xml:space="preserve">        资产减值损失（损失以“-”号填列）</t>
        </is>
      </c>
      <c r="B21" s="135" t="n"/>
      <c r="C21" s="156">
        <f>-资产减值损失表!C9</f>
        <v/>
      </c>
      <c r="D21" s="156">
        <f>-资产减值损失表!D9</f>
        <v/>
      </c>
      <c r="E21" s="156">
        <f>-资产减值损失表!E9</f>
        <v/>
      </c>
      <c r="F21" s="156">
        <f>-资产减值损失表!F9</f>
        <v/>
      </c>
      <c r="G21" s="156">
        <f>-资产减值损失表!G9</f>
        <v/>
      </c>
      <c r="H21" s="156">
        <f>-资产减值损失表!H9</f>
        <v/>
      </c>
      <c r="I21" s="156">
        <f>-资产减值损失表!I9</f>
        <v/>
      </c>
      <c r="J21" s="156">
        <f>-资产减值损失表!J9</f>
        <v/>
      </c>
      <c r="K21" s="156">
        <f>-资产减值损失表!K9</f>
        <v/>
      </c>
      <c r="L21" s="156">
        <f>-资产减值损失表!L9</f>
        <v/>
      </c>
      <c r="M21" s="156">
        <f>-资产减值损失表!M9</f>
        <v/>
      </c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122" t="inlineStr">
        <is>
          <t xml:space="preserve">        资产处置收益（损失以“-”号填列）</t>
        </is>
      </c>
      <c r="B22" s="135" t="n"/>
      <c r="C22" s="156">
        <f>资产处置收益表!C9</f>
        <v/>
      </c>
      <c r="D22" s="156">
        <f>资产处置收益表!D9</f>
        <v/>
      </c>
      <c r="E22" s="156">
        <f>资产处置收益表!E9</f>
        <v/>
      </c>
      <c r="F22" s="156">
        <f>资产处置收益表!F9</f>
        <v/>
      </c>
      <c r="G22" s="156">
        <f>资产处置收益表!G9</f>
        <v/>
      </c>
      <c r="H22" s="156">
        <f>资产处置收益表!H9</f>
        <v/>
      </c>
      <c r="I22" s="156">
        <f>资产处置收益表!I9</f>
        <v/>
      </c>
      <c r="J22" s="156">
        <f>资产处置收益表!J9</f>
        <v/>
      </c>
      <c r="K22" s="156">
        <f>资产处置收益表!K9</f>
        <v/>
      </c>
      <c r="L22" s="156">
        <f>资产处置收益表!L9</f>
        <v/>
      </c>
      <c r="M22" s="156">
        <f>资产处置收益表!M9</f>
        <v/>
      </c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122" t="inlineStr">
        <is>
          <t>三、营业利润（亏损以“-”号填列）</t>
        </is>
      </c>
      <c r="B23" s="135" t="n"/>
      <c r="C23" s="151">
        <f>C6-C8+SUM(C15:C16,C17:C22)</f>
        <v/>
      </c>
      <c r="D23" s="151">
        <f>D6-D8+SUM(D15:D16,D17:D22)</f>
        <v/>
      </c>
      <c r="E23" s="151">
        <f>E6-E8+SUM(E15:E16,E17:E22)</f>
        <v/>
      </c>
      <c r="F23" s="151">
        <f>F6-F8+SUM(F15:F16,F17:F22)</f>
        <v/>
      </c>
      <c r="G23" s="151">
        <f>G6-G8+SUM(G15:G16,G17:G22)</f>
        <v/>
      </c>
      <c r="H23" s="151">
        <f>H6-H8+SUM(H15:H16,H17:H22)</f>
        <v/>
      </c>
      <c r="I23" s="151">
        <f>I6-I8+SUM(I15:I16,I17:I22)</f>
        <v/>
      </c>
      <c r="J23" s="151">
        <f>J6-J8+SUM(J15:J16,J17:J22)</f>
        <v/>
      </c>
      <c r="K23" s="151">
        <f>K6-K8+SUM(K15:K16,K17:K22)</f>
        <v/>
      </c>
      <c r="L23" s="151">
        <f>L6-L8+SUM(L15:L16,L17:L22)</f>
        <v/>
      </c>
      <c r="M23" s="151">
        <f>M6-M8+SUM(M15:M16,M17:M22)</f>
        <v/>
      </c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122" t="inlineStr">
        <is>
          <t xml:space="preserve">    加：营业外收入</t>
        </is>
      </c>
      <c r="B24" s="135" t="n"/>
      <c r="C24" s="156">
        <f>营业外收入表!C9</f>
        <v/>
      </c>
      <c r="D24" s="156">
        <f>营业外收入表!D9</f>
        <v/>
      </c>
      <c r="E24" s="156">
        <f>营业外收入表!E9</f>
        <v/>
      </c>
      <c r="F24" s="156">
        <f>营业外收入表!F9</f>
        <v/>
      </c>
      <c r="G24" s="156">
        <f>营业外收入表!G9</f>
        <v/>
      </c>
      <c r="H24" s="156">
        <f>营业外收入表!H9</f>
        <v/>
      </c>
      <c r="I24" s="156">
        <f>营业外收入表!I9</f>
        <v/>
      </c>
      <c r="J24" s="156">
        <f>营业外收入表!J9</f>
        <v/>
      </c>
      <c r="K24" s="156">
        <f>营业外收入表!K9</f>
        <v/>
      </c>
      <c r="L24" s="156">
        <f>营业外收入表!L9</f>
        <v/>
      </c>
      <c r="M24" s="156">
        <f>营业外收入表!M9</f>
        <v/>
      </c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122" t="inlineStr">
        <is>
          <t xml:space="preserve">    减：营业外支出</t>
        </is>
      </c>
      <c r="B25" s="135" t="n"/>
      <c r="C25" s="156">
        <f>营业外支出表!C9</f>
        <v/>
      </c>
      <c r="D25" s="156">
        <f>营业外支出表!D9</f>
        <v/>
      </c>
      <c r="E25" s="156">
        <f>营业外支出表!E9</f>
        <v/>
      </c>
      <c r="F25" s="156">
        <f>营业外支出表!F9</f>
        <v/>
      </c>
      <c r="G25" s="156">
        <f>营业外支出表!G9</f>
        <v/>
      </c>
      <c r="H25" s="156">
        <f>营业外支出表!H9</f>
        <v/>
      </c>
      <c r="I25" s="156">
        <f>营业外支出表!I9</f>
        <v/>
      </c>
      <c r="J25" s="156">
        <f>营业外支出表!J9</f>
        <v/>
      </c>
      <c r="K25" s="156">
        <f>营业外支出表!K9</f>
        <v/>
      </c>
      <c r="L25" s="156">
        <f>营业外支出表!L9</f>
        <v/>
      </c>
      <c r="M25" s="156">
        <f>营业外支出表!M9</f>
        <v/>
      </c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122" t="inlineStr">
        <is>
          <t>四、利润总额（亏损总额以“-”号填列）</t>
        </is>
      </c>
      <c r="B26" s="135" t="n"/>
      <c r="C26" s="151">
        <f>C23+C24-C25</f>
        <v/>
      </c>
      <c r="D26" s="151">
        <f>D23+D24-D25</f>
        <v/>
      </c>
      <c r="E26" s="151">
        <f>E23+E24-E25</f>
        <v/>
      </c>
      <c r="F26" s="151">
        <f>F23+F24-F25</f>
        <v/>
      </c>
      <c r="G26" s="151">
        <f>G23+G24-G25</f>
        <v/>
      </c>
      <c r="H26" s="151">
        <f>H23+H24-H25</f>
        <v/>
      </c>
      <c r="I26" s="151">
        <f>I23+I24-I25</f>
        <v/>
      </c>
      <c r="J26" s="151">
        <f>J23+J24-J25</f>
        <v/>
      </c>
      <c r="K26" s="151">
        <f>K23+K24-K25</f>
        <v/>
      </c>
      <c r="L26" s="151">
        <f>L23+L24-L25</f>
        <v/>
      </c>
      <c r="M26" s="151">
        <f>M23+M24-M25</f>
        <v/>
      </c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122" t="inlineStr">
        <is>
          <t xml:space="preserve">    减：所得税费用</t>
        </is>
      </c>
      <c r="B27" s="135" t="n"/>
      <c r="C27" s="156">
        <f>所得税表!C43</f>
        <v/>
      </c>
      <c r="D27" s="156">
        <f>所得税表!D43</f>
        <v/>
      </c>
      <c r="E27" s="156">
        <f>所得税表!E43</f>
        <v/>
      </c>
      <c r="F27" s="156">
        <f>所得税表!F43</f>
        <v/>
      </c>
      <c r="G27" s="156">
        <f>所得税表!G43</f>
        <v/>
      </c>
      <c r="H27" s="156">
        <f>所得税表!H43</f>
        <v/>
      </c>
      <c r="I27" s="156">
        <f>所得税表!I43</f>
        <v/>
      </c>
      <c r="J27" s="156">
        <f>所得税表!J43</f>
        <v/>
      </c>
      <c r="K27" s="156">
        <f>所得税表!K43</f>
        <v/>
      </c>
      <c r="L27" s="156">
        <f>所得税表!L43</f>
        <v/>
      </c>
      <c r="M27" s="156">
        <f>所得税表!M43</f>
        <v/>
      </c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122" t="inlineStr">
        <is>
          <t>五、净利润（净亏损以“-”号填列）</t>
        </is>
      </c>
      <c r="B28" s="135" t="n"/>
      <c r="C28" s="151">
        <f>C26-C27</f>
        <v/>
      </c>
      <c r="D28" s="151">
        <f>D26-D27</f>
        <v/>
      </c>
      <c r="E28" s="151">
        <f>E26-E27</f>
        <v/>
      </c>
      <c r="F28" s="151">
        <f>F26-F27</f>
        <v/>
      </c>
      <c r="G28" s="151">
        <f>G26-G27</f>
        <v/>
      </c>
      <c r="H28" s="151">
        <f>H26-H27</f>
        <v/>
      </c>
      <c r="I28" s="151">
        <f>I26-I27</f>
        <v/>
      </c>
      <c r="J28" s="151">
        <f>J26-J27</f>
        <v/>
      </c>
      <c r="K28" s="151">
        <f>K26-K27</f>
        <v/>
      </c>
      <c r="L28" s="151">
        <f>L26-L27</f>
        <v/>
      </c>
      <c r="M28" s="151">
        <f>M26-M27</f>
        <v/>
      </c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122" t="inlineStr">
        <is>
          <t xml:space="preserve">    1．归属于母公司股东的净利润（净亏损以“-”号填列）</t>
        </is>
      </c>
      <c r="B29" s="135" t="n"/>
      <c r="C29" s="151">
        <f>C28-C30</f>
        <v/>
      </c>
      <c r="D29" s="151">
        <f>D28-D30</f>
        <v/>
      </c>
      <c r="E29" s="151">
        <f>E28-E30</f>
        <v/>
      </c>
      <c r="F29" s="151">
        <f>F28-F30</f>
        <v/>
      </c>
      <c r="G29" s="151">
        <f>G28-G30</f>
        <v/>
      </c>
      <c r="H29" s="151">
        <f>H28-H30</f>
        <v/>
      </c>
      <c r="I29" s="151">
        <f>I28-I30</f>
        <v/>
      </c>
      <c r="J29" s="151">
        <f>J28-J30</f>
        <v/>
      </c>
      <c r="K29" s="151">
        <f>K28-K30</f>
        <v/>
      </c>
      <c r="L29" s="151">
        <f>L28-L30</f>
        <v/>
      </c>
      <c r="M29" s="151">
        <f>M28-M30</f>
        <v/>
      </c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122" t="inlineStr">
        <is>
          <t xml:space="preserve">    2．少数股东损益（净亏损以“-”号填列）</t>
        </is>
      </c>
      <c r="B30" s="135" t="n"/>
      <c r="C30" s="149" t="n"/>
      <c r="D30" s="149" t="n"/>
      <c r="E30" s="149" t="n"/>
      <c r="F30" s="149" t="n"/>
      <c r="G30" s="149" t="n"/>
      <c r="H30" s="149" t="n"/>
      <c r="I30" s="149" t="n"/>
      <c r="J30" s="149" t="n"/>
      <c r="K30" s="149" t="n"/>
      <c r="L30" s="149" t="n"/>
      <c r="M30" s="149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122" t="inlineStr">
        <is>
          <t>加：折旧与摊销</t>
        </is>
      </c>
      <c r="B31" s="135" t="n"/>
      <c r="C31" s="156">
        <f>折旧摊销、资本性支出表!C19</f>
        <v/>
      </c>
      <c r="D31" s="156">
        <f>折旧摊销、资本性支出表!D19</f>
        <v/>
      </c>
      <c r="E31" s="156">
        <f>折旧摊销、资本性支出表!E19</f>
        <v/>
      </c>
      <c r="F31" s="156">
        <f>折旧摊销、资本性支出表!F19</f>
        <v/>
      </c>
      <c r="G31" s="156">
        <f>折旧摊销、资本性支出表!G19</f>
        <v/>
      </c>
      <c r="H31" s="156">
        <f>折旧摊销、资本性支出表!H19</f>
        <v/>
      </c>
      <c r="I31" s="156">
        <f>折旧摊销、资本性支出表!I19</f>
        <v/>
      </c>
      <c r="J31" s="156">
        <f>折旧摊销、资本性支出表!J19</f>
        <v/>
      </c>
      <c r="K31" s="156">
        <f>折旧摊销、资本性支出表!K19</f>
        <v/>
      </c>
      <c r="L31" s="156">
        <f>折旧摊销、资本性支出表!L19</f>
        <v/>
      </c>
      <c r="M31" s="156">
        <f>折旧摊销、资本性支出表!M19</f>
        <v/>
      </c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122" t="inlineStr">
        <is>
          <t>经营现金流</t>
        </is>
      </c>
      <c r="B32" s="135" t="n"/>
      <c r="C32" s="151">
        <f>SUM(C29+C31)</f>
        <v/>
      </c>
      <c r="D32" s="151">
        <f>SUM(D29+D31)</f>
        <v/>
      </c>
      <c r="E32" s="151">
        <f>SUM(E29+E31)</f>
        <v/>
      </c>
      <c r="F32" s="151">
        <f>SUM(F29+F31)</f>
        <v/>
      </c>
      <c r="G32" s="151">
        <f>SUM(G29+G31)</f>
        <v/>
      </c>
      <c r="H32" s="151">
        <f>SUM(H29+H31)</f>
        <v/>
      </c>
      <c r="I32" s="151">
        <f>SUM(I29+I31)</f>
        <v/>
      </c>
      <c r="J32" s="151">
        <f>SUM(J29+J31)</f>
        <v/>
      </c>
      <c r="K32" s="151">
        <f>SUM(K29+K31)</f>
        <v/>
      </c>
      <c r="L32" s="151">
        <f>SUM(L29+L31)</f>
        <v/>
      </c>
      <c r="M32" s="151">
        <f>SUM(M29+M31)</f>
        <v/>
      </c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122" t="inlineStr">
        <is>
          <t>加：税后付息债务利息</t>
        </is>
      </c>
      <c r="B33" s="135" t="n"/>
      <c r="C33" s="156">
        <f>(财务费用表!C6+财务费用表!C11)*(1-所得税表!C42)</f>
        <v/>
      </c>
      <c r="D33" s="156">
        <f>(财务费用表!D6+财务费用表!D11)*(1-所得税表!D42)</f>
        <v/>
      </c>
      <c r="E33" s="156">
        <f>(财务费用表!E6+财务费用表!E11)*(1-所得税表!E42)</f>
        <v/>
      </c>
      <c r="F33" s="156">
        <f>(财务费用表!F6+财务费用表!F11)*(1-所得税表!F42)</f>
        <v/>
      </c>
      <c r="G33" s="156">
        <f>(财务费用表!G6+财务费用表!G11)*(1-所得税表!G42)</f>
        <v/>
      </c>
      <c r="H33" s="156">
        <f>(财务费用表!H6+财务费用表!H11)*(1-所得税表!H42)</f>
        <v/>
      </c>
      <c r="I33" s="156">
        <f>(财务费用表!I6+财务费用表!I11)*(1-所得税表!I42)</f>
        <v/>
      </c>
      <c r="J33" s="156">
        <f>(财务费用表!J6+财务费用表!J11)*(1-所得税表!J42)</f>
        <v/>
      </c>
      <c r="K33" s="156">
        <f>(财务费用表!K6+财务费用表!K11)*(1-所得税表!K42)</f>
        <v/>
      </c>
      <c r="L33" s="156">
        <f>(财务费用表!L6+财务费用表!L11)*(1-所得税表!L42)</f>
        <v/>
      </c>
      <c r="M33" s="156">
        <f>(财务费用表!M6+财务费用表!M11)*(1-所得税表!M42)</f>
        <v/>
      </c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122" t="inlineStr">
        <is>
          <t>减：资本性支出</t>
        </is>
      </c>
      <c r="B34" s="135" t="n"/>
      <c r="C34" s="156">
        <f>折旧摊销、资本性支出表!C29</f>
        <v/>
      </c>
      <c r="D34" s="156">
        <f>折旧摊销、资本性支出表!D29</f>
        <v/>
      </c>
      <c r="E34" s="156">
        <f>折旧摊销、资本性支出表!E29</f>
        <v/>
      </c>
      <c r="F34" s="156">
        <f>折旧摊销、资本性支出表!F29</f>
        <v/>
      </c>
      <c r="G34" s="156">
        <f>折旧摊销、资本性支出表!G29</f>
        <v/>
      </c>
      <c r="H34" s="156">
        <f>折旧摊销、资本性支出表!H29</f>
        <v/>
      </c>
      <c r="I34" s="156">
        <f>折旧摊销、资本性支出表!I29</f>
        <v/>
      </c>
      <c r="J34" s="156">
        <f>折旧摊销、资本性支出表!J29</f>
        <v/>
      </c>
      <c r="K34" s="156">
        <f>折旧摊销、资本性支出表!K29</f>
        <v/>
      </c>
      <c r="L34" s="156">
        <f>折旧摊销、资本性支出表!L29</f>
        <v/>
      </c>
      <c r="M34" s="156">
        <f>折旧摊销、资本性支出表!M29</f>
        <v/>
      </c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122" t="inlineStr">
        <is>
          <t>减：营运资金增加（减少）</t>
        </is>
      </c>
      <c r="B35" s="135" t="n"/>
      <c r="C35" s="156">
        <f>营运资金表!C76</f>
        <v/>
      </c>
      <c r="D35" s="156">
        <f>营运资金表!D76</f>
        <v/>
      </c>
      <c r="E35" s="156">
        <f>营运资金表!E76</f>
        <v/>
      </c>
      <c r="F35" s="156">
        <f>营运资金表!F76</f>
        <v/>
      </c>
      <c r="G35" s="156">
        <f>营运资金表!G78</f>
        <v/>
      </c>
      <c r="H35" s="156">
        <f>营运资金表!H78</f>
        <v/>
      </c>
      <c r="I35" s="156">
        <f>营运资金表!I78</f>
        <v/>
      </c>
      <c r="J35" s="156">
        <f>营运资金表!J78</f>
        <v/>
      </c>
      <c r="K35" s="156">
        <f>营运资金表!K78</f>
        <v/>
      </c>
      <c r="L35" s="156">
        <f>营运资金表!L78</f>
        <v/>
      </c>
      <c r="M35" s="156">
        <f>营运资金表!M76</f>
        <v/>
      </c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122" t="inlineStr">
        <is>
          <t>净现金流</t>
        </is>
      </c>
      <c r="B36" s="135" t="n"/>
      <c r="C36" s="151">
        <f>C32+C33-C34-C35</f>
        <v/>
      </c>
      <c r="D36" s="151">
        <f>D32+D33-D34-D35</f>
        <v/>
      </c>
      <c r="E36" s="151">
        <f>E32+E33-E34-E35</f>
        <v/>
      </c>
      <c r="F36" s="151">
        <f>F32+F33-F34-F35</f>
        <v/>
      </c>
      <c r="G36" s="151">
        <f>G32+G33-G34-G35</f>
        <v/>
      </c>
      <c r="H36" s="151">
        <f>H32+H33-H34-H35</f>
        <v/>
      </c>
      <c r="I36" s="151">
        <f>I32+I33-I34-I35</f>
        <v/>
      </c>
      <c r="J36" s="151">
        <f>J32+J33-J34-J35</f>
        <v/>
      </c>
      <c r="K36" s="151">
        <f>K32+K33-K34-K35</f>
        <v/>
      </c>
      <c r="L36" s="151">
        <f>L32+L33-L34-L35</f>
        <v/>
      </c>
      <c r="M36" s="151">
        <f>M32+M33-M34-M35</f>
        <v/>
      </c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122" t="inlineStr">
        <is>
          <t>折现年限</t>
        </is>
      </c>
      <c r="B37" s="135" t="n"/>
      <c r="C37" s="7" t="n"/>
      <c r="D37" s="7" t="n"/>
      <c r="E37" s="7" t="n"/>
      <c r="F37" s="7" t="n"/>
      <c r="G37" s="64" t="inlineStr">
        <is>
          <t>0.2500</t>
        </is>
      </c>
      <c r="H37" s="64" t="inlineStr">
        <is>
          <t>1.0000</t>
        </is>
      </c>
      <c r="I37" s="64" t="inlineStr">
        <is>
          <t>2.0000</t>
        </is>
      </c>
      <c r="J37" s="64" t="inlineStr">
        <is>
          <t>3.0000</t>
        </is>
      </c>
      <c r="K37" s="64" t="inlineStr">
        <is>
          <t>4.0000</t>
        </is>
      </c>
      <c r="L37" s="64" t="inlineStr">
        <is>
          <t>5.0000</t>
        </is>
      </c>
      <c r="M37" s="64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122" t="inlineStr">
        <is>
          <t>折现系数</t>
        </is>
      </c>
      <c r="B38" s="135" t="n"/>
      <c r="C38" s="7" t="n"/>
      <c r="D38" s="7" t="n"/>
      <c r="E38" s="7" t="n"/>
      <c r="F38" s="7" t="n"/>
      <c r="G38" s="158">
        <f>ROUND(1/(1+折现率计算表!C24)^G37,4)</f>
        <v/>
      </c>
      <c r="H38" s="158">
        <f>ROUND(1/(1+折现率计算表!C24)^H37,4)</f>
        <v/>
      </c>
      <c r="I38" s="158">
        <f>ROUND(1/(1+折现率计算表!C24)^I37,4)</f>
        <v/>
      </c>
      <c r="J38" s="158">
        <f>ROUND(1/(1+折现率计算表!C24)^J37,4)</f>
        <v/>
      </c>
      <c r="K38" s="158">
        <f>ROUND(1/(1+折现率计算表!C24)^K37,4)</f>
        <v/>
      </c>
      <c r="L38" s="158">
        <f>ROUND(1/(1+折现率计算表!C24)^L37,4)</f>
        <v/>
      </c>
      <c r="M38" s="158">
        <f>ROUND(L38/折现率计算表!C24,4)</f>
        <v/>
      </c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122" t="inlineStr">
        <is>
          <t>净现金流量现值</t>
        </is>
      </c>
      <c r="B39" s="135" t="n"/>
      <c r="C39" s="148" t="n"/>
      <c r="D39" s="148" t="n"/>
      <c r="E39" s="148" t="n"/>
      <c r="F39" s="148" t="n"/>
      <c r="G39" s="151">
        <f>ROUND(G36*G38,2)</f>
        <v/>
      </c>
      <c r="H39" s="151">
        <f>ROUND(H36*H38,2)</f>
        <v/>
      </c>
      <c r="I39" s="151">
        <f>ROUND(I36*I38,2)</f>
        <v/>
      </c>
      <c r="J39" s="151">
        <f>ROUND(J36*J38,2)</f>
        <v/>
      </c>
      <c r="K39" s="151">
        <f>ROUND(K36*K38,2)</f>
        <v/>
      </c>
      <c r="L39" s="151">
        <f>ROUND(L36*L38,2)</f>
        <v/>
      </c>
      <c r="M39" s="151">
        <f>ROUND(M36*M38,2)</f>
        <v/>
      </c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122" t="inlineStr">
        <is>
          <t>经营性资产现值之和</t>
        </is>
      </c>
      <c r="B40" s="135" t="n"/>
      <c r="C40" s="148" t="n"/>
      <c r="D40" s="148" t="n"/>
      <c r="E40" s="148" t="n"/>
      <c r="F40" s="148" t="n"/>
      <c r="G40" s="159">
        <f>ROUND(SUM(G39:M39),2)</f>
        <v/>
      </c>
      <c r="H40" s="154" t="n"/>
      <c r="I40" s="154" t="n"/>
      <c r="J40" s="154" t="n"/>
      <c r="K40" s="154" t="n"/>
      <c r="L40" s="154" t="n"/>
      <c r="M40" s="15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124" t="inlineStr">
        <is>
          <t>评估结果计算表</t>
        </is>
      </c>
      <c r="B42" s="154" t="n"/>
      <c r="C42" s="155" t="n"/>
      <c r="D42" s="124" t="inlineStr">
        <is>
          <t>取整位数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122" t="inlineStr">
        <is>
          <t>经营性资产现值之和</t>
        </is>
      </c>
      <c r="B43" s="135" t="n"/>
      <c r="C43" s="151">
        <f>ROUND(G40,D43)</f>
        <v/>
      </c>
      <c r="D43" s="13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122" t="inlineStr">
        <is>
          <t>加：溢余资产</t>
        </is>
      </c>
      <c r="B44" s="135" t="n"/>
      <c r="C44" s="156">
        <f>溢余资产、非经营资产负债表!E26</f>
        <v/>
      </c>
      <c r="D44" s="7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122" t="inlineStr">
        <is>
          <t xml:space="preserve">    非经营性资产</t>
        </is>
      </c>
      <c r="B45" s="135" t="n"/>
      <c r="C45" s="156">
        <f>溢余资产、非经营资产负债表!E48</f>
        <v/>
      </c>
      <c r="D45" s="7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122" t="inlineStr">
        <is>
          <t xml:space="preserve">    长期股权投资</t>
        </is>
      </c>
      <c r="B46" s="135" t="n"/>
      <c r="C46" s="156">
        <f>长期股权投资表!D55</f>
        <v/>
      </c>
      <c r="D46" s="7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122" t="inlineStr">
        <is>
          <t>减：非经营性负债</t>
        </is>
      </c>
      <c r="B47" s="135" t="n"/>
      <c r="C47" s="156">
        <f>溢余资产、非经营资产负债表!E70</f>
        <v/>
      </c>
      <c r="D47" s="7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122" t="inlineStr">
        <is>
          <t>企业整体价值</t>
        </is>
      </c>
      <c r="B48" s="135" t="n"/>
      <c r="C48" s="151">
        <f>C43+C44+C45+C46-C47</f>
        <v/>
      </c>
      <c r="D48" s="7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122" t="inlineStr">
        <is>
          <t>减：付息负债</t>
        </is>
      </c>
      <c r="B49" s="135" t="n"/>
      <c r="C49" s="156">
        <f>付息负债明细表!G193</f>
        <v/>
      </c>
      <c r="D49" s="7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>
      <c r="A50" s="122" t="inlineStr">
        <is>
          <t>股东全部权益价值</t>
        </is>
      </c>
      <c r="B50" s="135" t="n"/>
      <c r="C50" s="151">
        <f>ROUND(C48-C49,D50)</f>
        <v/>
      </c>
      <c r="D50" s="13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</row>
  </sheetData>
  <mergeCells count="7">
    <mergeCell ref="A42:C42"/>
    <mergeCell ref="A1:M1"/>
    <mergeCell ref="G40:M40"/>
    <mergeCell ref="C4:F4"/>
    <mergeCell ref="A4:A5"/>
    <mergeCell ref="G4:M4"/>
    <mergeCell ref="A2: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212"/>
  <sheetViews>
    <sheetView workbookViewId="0">
      <selection activeCell="F6" sqref="F6"/>
    </sheetView>
  </sheetViews>
  <sheetFormatPr baseColWidth="8" defaultColWidth="9.109375" defaultRowHeight="14.4"/>
  <cols>
    <col width="35" customWidth="1" style="1" min="1" max="1"/>
    <col width="15" customWidth="1" style="1" min="2" max="7"/>
    <col width="9.109375" customWidth="1" style="1" min="8" max="8"/>
    <col width="9.109375" customWidth="1" style="1" min="9" max="16384"/>
  </cols>
  <sheetData>
    <row r="1" ht="17.4" customHeight="1">
      <c r="A1" s="128" t="inlineStr">
        <is>
          <t>主要产品及服务</t>
        </is>
      </c>
      <c r="B1" s="76" t="n"/>
      <c r="C1" s="76" t="n"/>
      <c r="D1" s="76" t="n"/>
      <c r="E1" s="76" t="n"/>
      <c r="F1" s="76" t="n"/>
      <c r="G1" s="76" t="n"/>
      <c r="H1" s="59">
        <f>HYPERLINK("#目录1!A1","返回目录")</f>
        <v/>
      </c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</row>
    <row r="2">
      <c r="A2" s="129" t="inlineStr">
        <is>
          <t>评估基准日：{{VALUATION_BASE_DATE}}</t>
        </is>
      </c>
      <c r="B2" s="76" t="n"/>
      <c r="C2" s="76" t="n"/>
      <c r="D2" s="76" t="n"/>
      <c r="E2" s="76" t="n"/>
      <c r="F2" s="76" t="n"/>
      <c r="G2" s="76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</row>
    <row r="3">
      <c r="A3" s="5">
        <f>"被评估单位："&amp;项目信息!B5&amp;""</f>
        <v/>
      </c>
      <c r="B3" s="5" t="n"/>
      <c r="C3" s="5" t="n"/>
      <c r="D3" s="5" t="n"/>
      <c r="E3" s="5" t="n"/>
      <c r="F3" s="5" t="n"/>
      <c r="G3" s="60">
        <f>"金额单位："&amp;项目信息!B8&amp;""</f>
        <v/>
      </c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</row>
    <row r="4">
      <c r="A4" s="61" t="inlineStr">
        <is>
          <t>板块</t>
        </is>
      </c>
      <c r="B4" s="61" t="inlineStr">
        <is>
          <t>序号</t>
        </is>
      </c>
      <c r="C4" s="61" t="inlineStr">
        <is>
          <t>产品或服务名称</t>
        </is>
      </c>
      <c r="D4" s="61" t="inlineStr">
        <is>
          <t>增值税率（%）</t>
        </is>
      </c>
      <c r="E4" s="61" t="inlineStr">
        <is>
          <t>营业收入预测方式</t>
        </is>
      </c>
      <c r="F4" s="61" t="inlineStr">
        <is>
          <t>营业成本预测方式</t>
        </is>
      </c>
      <c r="G4" s="61" t="inlineStr">
        <is>
          <t>备注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</row>
    <row r="5">
      <c r="A5" s="133" t="n"/>
      <c r="B5" s="134" t="n"/>
      <c r="C5" s="62" t="n"/>
      <c r="D5" s="63" t="n"/>
      <c r="E5" s="134" t="n"/>
      <c r="F5" s="134" t="n"/>
      <c r="G5" s="13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</row>
    <row r="6">
      <c r="A6" s="160" t="n"/>
      <c r="B6" s="134" t="n"/>
      <c r="C6" s="62" t="n"/>
      <c r="D6" s="63" t="n"/>
      <c r="E6" s="134" t="n"/>
      <c r="F6" s="134" t="n"/>
      <c r="G6" s="13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</row>
    <row r="7">
      <c r="A7" s="160" t="n"/>
      <c r="B7" s="134" t="n"/>
      <c r="C7" s="62" t="n"/>
      <c r="D7" s="63" t="n"/>
      <c r="E7" s="134" t="n"/>
      <c r="F7" s="134" t="n"/>
      <c r="G7" s="13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</row>
    <row r="8">
      <c r="A8" s="147" t="n"/>
      <c r="B8" s="134" t="n"/>
      <c r="C8" s="62" t="n"/>
      <c r="D8" s="63" t="n"/>
      <c r="E8" s="134" t="n"/>
      <c r="F8" s="134" t="n"/>
      <c r="G8" s="13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</row>
    <row r="9">
      <c r="A9" s="133" t="n"/>
      <c r="B9" s="134" t="n"/>
      <c r="C9" s="62" t="n"/>
      <c r="D9" s="63" t="n"/>
      <c r="E9" s="134" t="n"/>
      <c r="F9" s="134" t="n"/>
      <c r="G9" s="13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</row>
    <row r="10">
      <c r="A10" s="160" t="n"/>
      <c r="B10" s="134" t="n"/>
      <c r="C10" s="62" t="n"/>
      <c r="D10" s="63" t="n"/>
      <c r="E10" s="134" t="n"/>
      <c r="F10" s="134" t="n"/>
      <c r="G10" s="13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</row>
    <row r="11">
      <c r="A11" s="160" t="n"/>
      <c r="B11" s="134" t="n"/>
      <c r="C11" s="62" t="n"/>
      <c r="D11" s="63" t="n"/>
      <c r="E11" s="134" t="n"/>
      <c r="F11" s="134" t="n"/>
      <c r="G11" s="13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</row>
    <row r="12">
      <c r="A12" s="147" t="n"/>
      <c r="B12" s="134" t="n"/>
      <c r="C12" s="62" t="n"/>
      <c r="D12" s="63" t="n"/>
      <c r="E12" s="134" t="n"/>
      <c r="F12" s="134" t="n"/>
      <c r="G12" s="13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0" sort="1" password="F563"/>
  <mergeCells count="4">
    <mergeCell ref="A5:A8"/>
    <mergeCell ref="A2:G2"/>
    <mergeCell ref="A1:G1"/>
    <mergeCell ref="A9:A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M225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D8" sqref="D8"/>
    </sheetView>
  </sheetViews>
  <sheetFormatPr baseColWidth="8" defaultColWidth="9.109375" defaultRowHeight="14.4"/>
  <cols>
    <col width="35" customWidth="1" style="1" min="1" max="1"/>
    <col hidden="1" width="15" customWidth="1" style="1" min="2" max="2"/>
    <col width="15" customWidth="1" style="1" min="3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营业收入分析预测表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121" t="inlineStr">
        <is>
          <t>产品/服务名称</t>
        </is>
      </c>
      <c r="B4" s="121" t="n"/>
      <c r="C4" s="121" t="inlineStr">
        <is>
          <t>历史数据</t>
        </is>
      </c>
      <c r="D4" s="154" t="n"/>
      <c r="E4" s="154" t="n"/>
      <c r="F4" s="155" t="n"/>
      <c r="G4" s="124" t="inlineStr">
        <is>
          <t>未来预测</t>
        </is>
      </c>
      <c r="H4" s="154" t="n"/>
      <c r="I4" s="154" t="n"/>
      <c r="J4" s="154" t="n"/>
      <c r="K4" s="154" t="n"/>
      <c r="L4" s="154" t="n"/>
      <c r="M4" s="15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47" t="n"/>
      <c r="B5" s="121" t="n"/>
      <c r="C5" s="121" t="inlineStr">
        <is>
          <t>2022年度</t>
        </is>
      </c>
      <c r="D5" s="121" t="inlineStr">
        <is>
          <t>2023年度</t>
        </is>
      </c>
      <c r="E5" s="121" t="inlineStr">
        <is>
          <t>2024年度</t>
        </is>
      </c>
      <c r="F5" s="121" t="inlineStr">
        <is>
          <t>2025年1-6月</t>
        </is>
      </c>
      <c r="G5" s="124" t="inlineStr">
        <is>
          <t>2025年7-12月</t>
        </is>
      </c>
      <c r="H5" s="124" t="inlineStr">
        <is>
          <t>2026年度</t>
        </is>
      </c>
      <c r="I5" s="124" t="inlineStr">
        <is>
          <t>2027年度</t>
        </is>
      </c>
      <c r="J5" s="124" t="inlineStr">
        <is>
          <t>2028年度</t>
        </is>
      </c>
      <c r="K5" s="124" t="inlineStr">
        <is>
          <t>2029年度</t>
        </is>
      </c>
      <c r="L5" s="124" t="inlineStr">
        <is>
          <t>2030年度</t>
        </is>
      </c>
      <c r="M5" s="124" t="inlineStr">
        <is>
          <t>永续年度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22" t="inlineStr">
        <is>
          <t>主营业务收入：</t>
        </is>
      </c>
      <c r="B6" s="7" t="n"/>
      <c r="C6" s="148" t="n"/>
      <c r="D6" s="148" t="n"/>
      <c r="E6" s="148" t="n"/>
      <c r="F6" s="148" t="n"/>
      <c r="G6" s="148" t="n"/>
      <c r="H6" s="148" t="n"/>
      <c r="I6" s="148" t="n"/>
      <c r="J6" s="148" t="n"/>
      <c r="K6" s="148" t="n"/>
      <c r="L6" s="148" t="n"/>
      <c r="M6" s="148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22" t="n"/>
      <c r="B7" s="134" t="n"/>
      <c r="C7" s="156">
        <f>营业收入附表!C9</f>
        <v/>
      </c>
      <c r="D7" s="156">
        <f>营业收入附表!D9</f>
        <v/>
      </c>
      <c r="E7" s="156">
        <f>营业收入附表!E9</f>
        <v/>
      </c>
      <c r="F7" s="156">
        <f>营业收入附表!F9</f>
        <v/>
      </c>
      <c r="G7" s="156">
        <f>营业收入附表!G9</f>
        <v/>
      </c>
      <c r="H7" s="156">
        <f>营业收入附表!H9</f>
        <v/>
      </c>
      <c r="I7" s="156">
        <f>营业收入附表!I9</f>
        <v/>
      </c>
      <c r="J7" s="156">
        <f>营业收入附表!J9</f>
        <v/>
      </c>
      <c r="K7" s="156">
        <f>营业收入附表!K9</f>
        <v/>
      </c>
      <c r="L7" s="156">
        <f>营业收入附表!L9</f>
        <v/>
      </c>
      <c r="M7" s="156">
        <f>营业收入附表!M9</f>
        <v/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22" t="inlineStr">
        <is>
          <t>其他</t>
        </is>
      </c>
      <c r="B8" s="134" t="n"/>
      <c r="C8" s="156">
        <f>营业收入附表!C12</f>
        <v/>
      </c>
      <c r="D8" s="156">
        <f>营业收入附表!D12</f>
        <v/>
      </c>
      <c r="E8" s="156">
        <f>营业收入附表!E12</f>
        <v/>
      </c>
      <c r="F8" s="156">
        <f>营业收入附表!F12</f>
        <v/>
      </c>
      <c r="G8" s="156">
        <f>营业收入附表!G12</f>
        <v/>
      </c>
      <c r="H8" s="156">
        <f>营业收入附表!H12</f>
        <v/>
      </c>
      <c r="I8" s="156">
        <f>营业收入附表!I12</f>
        <v/>
      </c>
      <c r="J8" s="156">
        <f>营业收入附表!J12</f>
        <v/>
      </c>
      <c r="K8" s="156">
        <f>营业收入附表!K12</f>
        <v/>
      </c>
      <c r="L8" s="156">
        <f>营业收入附表!L12</f>
        <v/>
      </c>
      <c r="M8" s="156">
        <f>营业收入附表!M12</f>
        <v/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34" t="n"/>
      <c r="B9" s="134" t="n"/>
      <c r="C9" s="161" t="n"/>
      <c r="D9" s="161" t="n"/>
      <c r="E9" s="161" t="n"/>
      <c r="F9" s="161" t="n"/>
      <c r="G9" s="161" t="n"/>
      <c r="H9" s="161" t="n"/>
      <c r="I9" s="161" t="n"/>
      <c r="J9" s="161" t="n"/>
      <c r="K9" s="161" t="n"/>
      <c r="L9" s="161" t="n"/>
      <c r="M9" s="161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134" t="n"/>
      <c r="B10" s="134" t="n"/>
      <c r="C10" s="161" t="n"/>
      <c r="D10" s="161" t="n"/>
      <c r="E10" s="161" t="n"/>
      <c r="F10" s="161" t="n"/>
      <c r="G10" s="161" t="n"/>
      <c r="H10" s="161" t="n"/>
      <c r="I10" s="161" t="n"/>
      <c r="J10" s="161" t="n"/>
      <c r="K10" s="161" t="n"/>
      <c r="L10" s="161" t="n"/>
      <c r="M10" s="161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136" t="inlineStr">
        <is>
          <t>主营业务收入小计</t>
        </is>
      </c>
      <c r="B11" s="137" t="n"/>
      <c r="C11" s="150">
        <f>SUM(C6:C10)</f>
        <v/>
      </c>
      <c r="D11" s="150">
        <f>SUM(D6:D10)</f>
        <v/>
      </c>
      <c r="E11" s="150">
        <f>SUM(E6:E10)</f>
        <v/>
      </c>
      <c r="F11" s="150">
        <f>SUM(F6:F10)</f>
        <v/>
      </c>
      <c r="G11" s="150">
        <f>SUM(G6:G10)</f>
        <v/>
      </c>
      <c r="H11" s="150">
        <f>SUM(H6:H10)</f>
        <v/>
      </c>
      <c r="I11" s="150">
        <f>SUM(I6:I10)</f>
        <v/>
      </c>
      <c r="J11" s="150">
        <f>SUM(J6:J10)</f>
        <v/>
      </c>
      <c r="K11" s="150">
        <f>SUM(K6:K10)</f>
        <v/>
      </c>
      <c r="L11" s="150">
        <f>SUM(L6:L10)</f>
        <v/>
      </c>
      <c r="M11" s="150">
        <f>SUM(M6:M10)</f>
        <v/>
      </c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122" t="inlineStr">
        <is>
          <t>其他业务收入：</t>
        </is>
      </c>
      <c r="B12" s="7" t="n"/>
      <c r="C12" s="148" t="n"/>
      <c r="D12" s="148" t="n"/>
      <c r="E12" s="148" t="n"/>
      <c r="F12" s="148" t="n"/>
      <c r="G12" s="148" t="n"/>
      <c r="H12" s="148" t="n"/>
      <c r="I12" s="148" t="n"/>
      <c r="J12" s="148" t="n"/>
      <c r="K12" s="148" t="n"/>
      <c r="L12" s="148" t="n"/>
      <c r="M12" s="148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122" t="inlineStr">
        <is>
          <t>其他</t>
        </is>
      </c>
      <c r="B13" s="134" t="n"/>
      <c r="C13" s="156">
        <f>营业收入附表!C19</f>
        <v/>
      </c>
      <c r="D13" s="156">
        <f>营业收入附表!D19</f>
        <v/>
      </c>
      <c r="E13" s="156">
        <f>营业收入附表!E19</f>
        <v/>
      </c>
      <c r="F13" s="156">
        <f>营业收入附表!F19</f>
        <v/>
      </c>
      <c r="G13" s="156">
        <f>营业收入附表!G19</f>
        <v/>
      </c>
      <c r="H13" s="156">
        <f>营业收入附表!H19</f>
        <v/>
      </c>
      <c r="I13" s="156">
        <f>营业收入附表!I19</f>
        <v/>
      </c>
      <c r="J13" s="156">
        <f>营业收入附表!J19</f>
        <v/>
      </c>
      <c r="K13" s="156">
        <f>营业收入附表!K19</f>
        <v/>
      </c>
      <c r="L13" s="156">
        <f>营业收入附表!L19</f>
        <v/>
      </c>
      <c r="M13" s="156">
        <f>营业收入附表!M19</f>
        <v/>
      </c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134" t="n"/>
      <c r="B14" s="134" t="n"/>
      <c r="C14" s="161" t="n"/>
      <c r="D14" s="161" t="n"/>
      <c r="E14" s="161" t="n"/>
      <c r="F14" s="161" t="n"/>
      <c r="G14" s="161" t="n"/>
      <c r="H14" s="161" t="n"/>
      <c r="I14" s="161" t="n"/>
      <c r="J14" s="161" t="n"/>
      <c r="K14" s="161" t="n"/>
      <c r="L14" s="161" t="n"/>
      <c r="M14" s="161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134" t="n"/>
      <c r="B15" s="134" t="n"/>
      <c r="C15" s="161" t="n"/>
      <c r="D15" s="161" t="n"/>
      <c r="E15" s="161" t="n"/>
      <c r="F15" s="161" t="n"/>
      <c r="G15" s="161" t="n"/>
      <c r="H15" s="161" t="n"/>
      <c r="I15" s="161" t="n"/>
      <c r="J15" s="161" t="n"/>
      <c r="K15" s="161" t="n"/>
      <c r="L15" s="161" t="n"/>
      <c r="M15" s="161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136" t="inlineStr">
        <is>
          <t>其他业务收入小计</t>
        </is>
      </c>
      <c r="B16" s="137" t="n"/>
      <c r="C16" s="150">
        <f>SUM(C12:C15)</f>
        <v/>
      </c>
      <c r="D16" s="150">
        <f>SUM(D12:D15)</f>
        <v/>
      </c>
      <c r="E16" s="150">
        <f>SUM(E12:E15)</f>
        <v/>
      </c>
      <c r="F16" s="150">
        <f>SUM(F12:F15)</f>
        <v/>
      </c>
      <c r="G16" s="150">
        <f>SUM(G12:G15)</f>
        <v/>
      </c>
      <c r="H16" s="150">
        <f>SUM(H12:H15)</f>
        <v/>
      </c>
      <c r="I16" s="150">
        <f>SUM(I12:I15)</f>
        <v/>
      </c>
      <c r="J16" s="150">
        <f>SUM(J12:J15)</f>
        <v/>
      </c>
      <c r="K16" s="150">
        <f>SUM(K12:K15)</f>
        <v/>
      </c>
      <c r="L16" s="150">
        <f>SUM(L12:L15)</f>
        <v/>
      </c>
      <c r="M16" s="150">
        <f>SUM(M12:M15)</f>
        <v/>
      </c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136" t="inlineStr">
        <is>
          <t>营业收入合计</t>
        </is>
      </c>
      <c r="B17" s="137" t="n"/>
      <c r="C17" s="150">
        <f>C11+C16</f>
        <v/>
      </c>
      <c r="D17" s="150">
        <f>D11+D16</f>
        <v/>
      </c>
      <c r="E17" s="150">
        <f>E11+E16</f>
        <v/>
      </c>
      <c r="F17" s="150">
        <f>F11+F16</f>
        <v/>
      </c>
      <c r="G17" s="150">
        <f>G11+G16</f>
        <v/>
      </c>
      <c r="H17" s="150">
        <f>H11+H16</f>
        <v/>
      </c>
      <c r="I17" s="150">
        <f>I11+I16</f>
        <v/>
      </c>
      <c r="J17" s="150">
        <f>J11+J16</f>
        <v/>
      </c>
      <c r="K17" s="150">
        <f>K11+K16</f>
        <v/>
      </c>
      <c r="L17" s="150">
        <f>L11+L16</f>
        <v/>
      </c>
      <c r="M17" s="150">
        <f>M11+M16</f>
        <v/>
      </c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31" t="inlineStr">
        <is>
          <t>主营业务收入</t>
        </is>
      </c>
      <c r="B19" s="31" t="n"/>
      <c r="C19" s="31" t="inlineStr">
        <is>
          <t>增长率（%）</t>
        </is>
      </c>
      <c r="D19" s="33">
        <f>ROUND((D11-C11)/C11,4)</f>
        <v/>
      </c>
      <c r="E19" s="33">
        <f>ROUND((E11-D11)/D11,4)</f>
        <v/>
      </c>
      <c r="F19" s="33">
        <f>ROUND((F11/6*12-E11)/E11,4)</f>
        <v/>
      </c>
      <c r="G19" s="33">
        <f>ROUND((G11+F11-E11)/E11,4)</f>
        <v/>
      </c>
      <c r="H19" s="33">
        <f>ROUND((H11-(G11+F11))/(G11+F11),4)</f>
        <v/>
      </c>
      <c r="I19" s="33">
        <f>ROUND((I11-H11)/H11,4)</f>
        <v/>
      </c>
      <c r="J19" s="33">
        <f>ROUND((J11-I11)/I11,4)</f>
        <v/>
      </c>
      <c r="K19" s="33">
        <f>ROUND((K11-J11)/J11,4)</f>
        <v/>
      </c>
      <c r="L19" s="33">
        <f>ROUND((L11-K11)/K11,4)</f>
        <v/>
      </c>
      <c r="M19" s="33">
        <f>ROUND((M11-L11)/L11,4)</f>
        <v/>
      </c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31" t="inlineStr"/>
      <c r="B20" s="31" t="n"/>
      <c r="C20" s="31" t="inlineStr">
        <is>
          <t>复合增长率（%）</t>
        </is>
      </c>
      <c r="D20" s="33" t="n"/>
      <c r="E20" s="33" t="n"/>
      <c r="F20" s="56">
        <f>ROUND(((F11/6*12)/C11)^(1/3),4)-1</f>
        <v/>
      </c>
      <c r="G20" s="33" t="n"/>
      <c r="H20" s="33" t="n"/>
      <c r="I20" s="33" t="n"/>
      <c r="J20" s="33" t="n"/>
      <c r="K20" s="33" t="n"/>
      <c r="L20" s="56">
        <f>ROUND((L11/(G11+F11))^(1/5),4)-1</f>
        <v/>
      </c>
      <c r="M20" s="33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31" t="inlineStr">
        <is>
          <t>其他业务收入</t>
        </is>
      </c>
      <c r="B21" s="31" t="n"/>
      <c r="C21" s="31" t="inlineStr">
        <is>
          <t>增长率（%）</t>
        </is>
      </c>
      <c r="D21" s="33">
        <f>ROUND((D16-C16)/C16,4)</f>
        <v/>
      </c>
      <c r="E21" s="33">
        <f>ROUND((E16-D16)/D16,4)</f>
        <v/>
      </c>
      <c r="F21" s="33">
        <f>ROUND((F16/6*12-E16)/E16,4)</f>
        <v/>
      </c>
      <c r="G21" s="33">
        <f>ROUND((G16+F16-E16)/E16,4)</f>
        <v/>
      </c>
      <c r="H21" s="33">
        <f>ROUND((H16-(G16+F16))/(G16+F16),4)</f>
        <v/>
      </c>
      <c r="I21" s="33">
        <f>ROUND((I16-H16)/H16,4)</f>
        <v/>
      </c>
      <c r="J21" s="33">
        <f>ROUND((J16-I16)/I16,4)</f>
        <v/>
      </c>
      <c r="K21" s="33">
        <f>ROUND((K16-J16)/J16,4)</f>
        <v/>
      </c>
      <c r="L21" s="33">
        <f>ROUND((L16-K16)/K16,4)</f>
        <v/>
      </c>
      <c r="M21" s="33">
        <f>ROUND((M16-L16)/L16,4)</f>
        <v/>
      </c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31" t="inlineStr"/>
      <c r="B22" s="31" t="n"/>
      <c r="C22" s="31" t="inlineStr">
        <is>
          <t>复合增长率（%）</t>
        </is>
      </c>
      <c r="D22" s="33" t="n"/>
      <c r="E22" s="33" t="n"/>
      <c r="F22" s="56">
        <f>ROUND(((F16/6*12)/C16)^(1/3),4)-1</f>
        <v/>
      </c>
      <c r="G22" s="33" t="n"/>
      <c r="H22" s="33" t="n"/>
      <c r="I22" s="33" t="n"/>
      <c r="J22" s="33" t="n"/>
      <c r="K22" s="33" t="n"/>
      <c r="L22" s="56">
        <f>ROUND((L16/(G16+F16))^(1/5),4)-1</f>
        <v/>
      </c>
      <c r="M22" s="33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31" t="inlineStr">
        <is>
          <t>营业收入</t>
        </is>
      </c>
      <c r="B23" s="31" t="n"/>
      <c r="C23" s="31" t="inlineStr">
        <is>
          <t>增长率（%）</t>
        </is>
      </c>
      <c r="D23" s="33">
        <f>ROUND((D17-C17)/C17,4)</f>
        <v/>
      </c>
      <c r="E23" s="33">
        <f>ROUND((E17-D17)/D17,4)</f>
        <v/>
      </c>
      <c r="F23" s="33">
        <f>ROUND((F17/6*12-E17)/E17,4)</f>
        <v/>
      </c>
      <c r="G23" s="33">
        <f>ROUND((G17+F17-E17)/E17,4)</f>
        <v/>
      </c>
      <c r="H23" s="33">
        <f>ROUND((H17-(G17+F17))/(G17+F17),4)</f>
        <v/>
      </c>
      <c r="I23" s="33">
        <f>ROUND((I17-H17)/H17,4)</f>
        <v/>
      </c>
      <c r="J23" s="33">
        <f>ROUND((J17-I17)/I17,4)</f>
        <v/>
      </c>
      <c r="K23" s="33">
        <f>ROUND((K17-J17)/J17,4)</f>
        <v/>
      </c>
      <c r="L23" s="33">
        <f>ROUND((L17-K17)/K17,4)</f>
        <v/>
      </c>
      <c r="M23" s="33">
        <f>ROUND((M17-L17)/L17,4)</f>
        <v/>
      </c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31" t="inlineStr"/>
      <c r="B24" s="31" t="n"/>
      <c r="C24" s="31" t="inlineStr">
        <is>
          <t>复合增长率（%）</t>
        </is>
      </c>
      <c r="D24" s="33" t="n"/>
      <c r="E24" s="33" t="n"/>
      <c r="F24" s="56">
        <f>ROUND(((F17/6*12)/C17)^(1/3),4)-1</f>
        <v/>
      </c>
      <c r="G24" s="33" t="n"/>
      <c r="H24" s="33" t="n"/>
      <c r="I24" s="33" t="n"/>
      <c r="J24" s="33" t="n"/>
      <c r="K24" s="33" t="n"/>
      <c r="L24" s="56">
        <f>ROUND((L17/(G17+F17))^(1/5),4)-1</f>
        <v/>
      </c>
      <c r="M24" s="33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31" t="inlineStr">
        <is>
          <t>核对</t>
        </is>
      </c>
      <c r="B25" s="31" t="n"/>
      <c r="C25" s="162">
        <f>C17-营业收入附表!C23</f>
        <v/>
      </c>
      <c r="D25" s="152">
        <f>D17-营业收入附表!D23</f>
        <v/>
      </c>
      <c r="E25" s="152">
        <f>E17-营业收入附表!E23</f>
        <v/>
      </c>
      <c r="F25" s="152">
        <f>F17-营业收入附表!F23</f>
        <v/>
      </c>
      <c r="G25" s="152">
        <f>G17-营业收入附表!G23</f>
        <v/>
      </c>
      <c r="H25" s="152">
        <f>H17-营业收入附表!H23</f>
        <v/>
      </c>
      <c r="I25" s="152">
        <f>I17-营业收入附表!I23</f>
        <v/>
      </c>
      <c r="J25" s="152">
        <f>J17-营业收入附表!J23</f>
        <v/>
      </c>
      <c r="K25" s="152">
        <f>K17-营业收入附表!K23</f>
        <v/>
      </c>
      <c r="L25" s="152">
        <f>L17-营业收入附表!L23</f>
        <v/>
      </c>
      <c r="M25" s="152">
        <f>M17-营业收入附表!M23</f>
        <v/>
      </c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0" sort="1" password="F563"/>
  <mergeCells count="5">
    <mergeCell ref="A1:M1"/>
    <mergeCell ref="C4:F4"/>
    <mergeCell ref="A4:A5"/>
    <mergeCell ref="G4:M4"/>
    <mergeCell ref="A2:M2"/>
  </mergeCells>
  <conditionalFormatting sqref="C25:M25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M227"/>
  <sheetViews>
    <sheetView workbookViewId="0">
      <pane xSplit="2" ySplit="5" topLeftCell="C18" activePane="bottomRight" state="frozen"/>
      <selection pane="topRight" activeCell="A1" sqref="A1"/>
      <selection pane="bottomLeft" activeCell="A1" sqref="A1"/>
      <selection pane="bottomRight" activeCell="D12" sqref="D12"/>
    </sheetView>
  </sheetViews>
  <sheetFormatPr baseColWidth="8" defaultColWidth="9.109375" defaultRowHeight="14.4"/>
  <cols>
    <col width="35" customWidth="1" style="1" min="1" max="1"/>
    <col width="15" customWidth="1" style="1" min="2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营业收入分析预测表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121" t="inlineStr">
        <is>
          <t>产品/服务名称</t>
        </is>
      </c>
      <c r="B4" s="121" t="inlineStr">
        <is>
          <t>项目</t>
        </is>
      </c>
      <c r="C4" s="121" t="inlineStr">
        <is>
          <t>历史数据</t>
        </is>
      </c>
      <c r="D4" s="154" t="n"/>
      <c r="E4" s="154" t="n"/>
      <c r="F4" s="155" t="n"/>
      <c r="G4" s="124" t="inlineStr">
        <is>
          <t>未来预测</t>
        </is>
      </c>
      <c r="H4" s="154" t="n"/>
      <c r="I4" s="154" t="n"/>
      <c r="J4" s="154" t="n"/>
      <c r="K4" s="154" t="n"/>
      <c r="L4" s="154" t="n"/>
      <c r="M4" s="15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47" t="n"/>
      <c r="B5" s="147" t="n"/>
      <c r="C5" s="121" t="inlineStr">
        <is>
          <t>2022年度</t>
        </is>
      </c>
      <c r="D5" s="121" t="inlineStr">
        <is>
          <t>2023年度</t>
        </is>
      </c>
      <c r="E5" s="121" t="inlineStr">
        <is>
          <t>2024年度</t>
        </is>
      </c>
      <c r="F5" s="121" t="inlineStr">
        <is>
          <t>2025年1-6月</t>
        </is>
      </c>
      <c r="G5" s="124" t="inlineStr">
        <is>
          <t>2025年7-12月</t>
        </is>
      </c>
      <c r="H5" s="124" t="inlineStr">
        <is>
          <t>2026年度</t>
        </is>
      </c>
      <c r="I5" s="124" t="inlineStr">
        <is>
          <t>2027年度</t>
        </is>
      </c>
      <c r="J5" s="124" t="inlineStr">
        <is>
          <t>2028年度</t>
        </is>
      </c>
      <c r="K5" s="124" t="inlineStr">
        <is>
          <t>2029年度</t>
        </is>
      </c>
      <c r="L5" s="124" t="inlineStr">
        <is>
          <t>2030年度</t>
        </is>
      </c>
      <c r="M5" s="124" t="inlineStr">
        <is>
          <t>永续年度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22" t="inlineStr">
        <is>
          <t>主营业务收入：</t>
        </is>
      </c>
      <c r="B6" s="7" t="n"/>
      <c r="C6" s="148" t="n"/>
      <c r="D6" s="148" t="n"/>
      <c r="E6" s="148" t="n"/>
      <c r="F6" s="148" t="n"/>
      <c r="G6" s="148" t="n"/>
      <c r="H6" s="148" t="n"/>
      <c r="I6" s="148" t="n"/>
      <c r="J6" s="148" t="n"/>
      <c r="K6" s="148" t="n"/>
      <c r="L6" s="148" t="n"/>
      <c r="M6" s="148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22" t="n"/>
      <c r="B7" s="122" t="inlineStr">
        <is>
          <t>数量</t>
        </is>
      </c>
      <c r="C7" s="163" t="n"/>
      <c r="D7" s="163" t="n"/>
      <c r="E7" s="163" t="n"/>
      <c r="F7" s="163" t="n"/>
      <c r="G7" s="163" t="n"/>
      <c r="H7" s="163" t="n"/>
      <c r="I7" s="163" t="n"/>
      <c r="J7" s="163" t="n"/>
      <c r="K7" s="163" t="n"/>
      <c r="L7" s="163" t="n"/>
      <c r="M7" s="163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22" t="n"/>
      <c r="B8" s="122" t="inlineStr">
        <is>
          <t>单价</t>
        </is>
      </c>
      <c r="C8" s="151">
        <f>ROUND(C9/C7,2)</f>
        <v/>
      </c>
      <c r="D8" s="151">
        <f>ROUND(D9/D7,2)</f>
        <v/>
      </c>
      <c r="E8" s="151">
        <f>ROUND(E9/E7,2)</f>
        <v/>
      </c>
      <c r="F8" s="151">
        <f>ROUND(F9/F7,2)</f>
        <v/>
      </c>
      <c r="G8" s="163" t="n"/>
      <c r="H8" s="163" t="n"/>
      <c r="I8" s="163" t="n"/>
      <c r="J8" s="163" t="n"/>
      <c r="K8" s="163" t="n"/>
      <c r="L8" s="163" t="n"/>
      <c r="M8" s="163">
        <f>L8</f>
        <v/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36" t="n"/>
      <c r="B9" s="136" t="inlineStr">
        <is>
          <t>收入</t>
        </is>
      </c>
      <c r="C9" s="164" t="n"/>
      <c r="D9" s="164" t="n"/>
      <c r="E9" s="164" t="n"/>
      <c r="F9" s="164" t="n"/>
      <c r="G9" s="150">
        <f>ROUND(G7*G8,2)</f>
        <v/>
      </c>
      <c r="H9" s="150">
        <f>ROUND(H7*H8,2)</f>
        <v/>
      </c>
      <c r="I9" s="150">
        <f>ROUND(I7*I8,2)</f>
        <v/>
      </c>
      <c r="J9" s="150">
        <f>ROUND(J7*J8,2)</f>
        <v/>
      </c>
      <c r="K9" s="150">
        <f>ROUND(K7*K8,2)</f>
        <v/>
      </c>
      <c r="L9" s="150">
        <f>ROUND(L7*L8,2)</f>
        <v/>
      </c>
      <c r="M9" s="150">
        <f>ROUND(M7*M8,2)</f>
        <v/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122" t="inlineStr">
        <is>
          <t>其他</t>
        </is>
      </c>
      <c r="B10" s="122" t="inlineStr">
        <is>
          <t>数量</t>
        </is>
      </c>
      <c r="C10" s="163" t="n"/>
      <c r="D10" s="163" t="n"/>
      <c r="E10" s="163" t="n"/>
      <c r="F10" s="163" t="n"/>
      <c r="G10" s="163" t="n"/>
      <c r="H10" s="163" t="n"/>
      <c r="I10" s="163" t="n"/>
      <c r="J10" s="163" t="n"/>
      <c r="K10" s="163" t="n"/>
      <c r="L10" s="163" t="n"/>
      <c r="M10" s="163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122" t="n"/>
      <c r="B11" s="122" t="inlineStr">
        <is>
          <t>单价</t>
        </is>
      </c>
      <c r="C11" s="151">
        <f>ROUND(C12/C10,2)</f>
        <v/>
      </c>
      <c r="D11" s="151">
        <f>ROUND(D12/D10,2)</f>
        <v/>
      </c>
      <c r="E11" s="151">
        <f>ROUND(E12/E10,2)</f>
        <v/>
      </c>
      <c r="F11" s="151">
        <f>ROUND(F12/F10,2)</f>
        <v/>
      </c>
      <c r="G11" s="163" t="n"/>
      <c r="H11" s="163" t="n"/>
      <c r="I11" s="163" t="n"/>
      <c r="J11" s="163" t="n"/>
      <c r="K11" s="163" t="n"/>
      <c r="L11" s="163" t="n"/>
      <c r="M11" s="163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136" t="n"/>
      <c r="B12" s="136" t="inlineStr">
        <is>
          <t>收入</t>
        </is>
      </c>
      <c r="C12" s="164" t="n"/>
      <c r="D12" s="164" t="n"/>
      <c r="E12" s="164" t="n"/>
      <c r="F12" s="164" t="n"/>
      <c r="G12" s="150">
        <f>ROUND(G10*G11,2)</f>
        <v/>
      </c>
      <c r="H12" s="150">
        <f>ROUND(H10*H11,2)</f>
        <v/>
      </c>
      <c r="I12" s="150">
        <f>ROUND(I10*I11,2)</f>
        <v/>
      </c>
      <c r="J12" s="150">
        <f>ROUND(J10*J11,2)</f>
        <v/>
      </c>
      <c r="K12" s="150">
        <f>ROUND(K10*K11,2)</f>
        <v/>
      </c>
      <c r="L12" s="150">
        <f>ROUND(L10*L11,2)</f>
        <v/>
      </c>
      <c r="M12" s="150">
        <f>ROUND(M10*M11,2)</f>
        <v/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134" t="n"/>
      <c r="B13" s="134" t="n"/>
      <c r="C13" s="161" t="n"/>
      <c r="D13" s="161" t="n"/>
      <c r="E13" s="161" t="n"/>
      <c r="F13" s="161" t="n"/>
      <c r="G13" s="161" t="n"/>
      <c r="H13" s="161" t="n"/>
      <c r="I13" s="161" t="n"/>
      <c r="J13" s="161" t="n"/>
      <c r="K13" s="161" t="n"/>
      <c r="L13" s="161" t="n"/>
      <c r="M13" s="161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134" t="n"/>
      <c r="B14" s="134" t="n"/>
      <c r="C14" s="161" t="n"/>
      <c r="D14" s="161" t="n"/>
      <c r="E14" s="161" t="n"/>
      <c r="F14" s="161" t="n"/>
      <c r="G14" s="161" t="n"/>
      <c r="H14" s="161" t="n"/>
      <c r="I14" s="161" t="n"/>
      <c r="J14" s="161" t="n"/>
      <c r="K14" s="161" t="n"/>
      <c r="L14" s="161" t="n"/>
      <c r="M14" s="161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136" t="inlineStr">
        <is>
          <t>主营业务收入小计</t>
        </is>
      </c>
      <c r="B15" s="136" t="n"/>
      <c r="C15" s="150">
        <f>SUMIF($B7:$B14,"收入",C7:C14)</f>
        <v/>
      </c>
      <c r="D15" s="150">
        <f>SUMIF($B7:$B14,"收入",D7:D14)</f>
        <v/>
      </c>
      <c r="E15" s="150">
        <f>SUMIF($B7:$B14,"收入",E7:E14)</f>
        <v/>
      </c>
      <c r="F15" s="150">
        <f>SUMIF($B7:$B14,"收入",F7:F14)</f>
        <v/>
      </c>
      <c r="G15" s="150">
        <f>SUMIF($B7:$B14,"收入",G7:G14)</f>
        <v/>
      </c>
      <c r="H15" s="150">
        <f>SUMIF($B7:$B14,"收入",H7:H14)</f>
        <v/>
      </c>
      <c r="I15" s="150">
        <f>SUMIF($B7:$B14,"收入",I7:I14)</f>
        <v/>
      </c>
      <c r="J15" s="150">
        <f>SUMIF($B7:$B14,"收入",J7:J14)</f>
        <v/>
      </c>
      <c r="K15" s="150">
        <f>SUMIF($B7:$B14,"收入",K7:K14)</f>
        <v/>
      </c>
      <c r="L15" s="150">
        <f>SUMIF($B7:$B14,"收入",L7:L14)</f>
        <v/>
      </c>
      <c r="M15" s="150">
        <f>SUMIF($B7:$B14,"收入",M7:M14)</f>
        <v/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122" t="inlineStr">
        <is>
          <t>其他业务收入：</t>
        </is>
      </c>
      <c r="B16" s="7" t="n"/>
      <c r="C16" s="148" t="n"/>
      <c r="D16" s="148" t="n"/>
      <c r="E16" s="148" t="n"/>
      <c r="F16" s="148" t="n"/>
      <c r="G16" s="148" t="n"/>
      <c r="H16" s="148" t="n"/>
      <c r="I16" s="148" t="n"/>
      <c r="J16" s="148" t="n"/>
      <c r="K16" s="148" t="n"/>
      <c r="L16" s="148" t="n"/>
      <c r="M16" s="148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122" t="inlineStr">
        <is>
          <t>其他</t>
        </is>
      </c>
      <c r="B17" s="122" t="inlineStr">
        <is>
          <t>数量</t>
        </is>
      </c>
      <c r="C17" s="163" t="n"/>
      <c r="D17" s="163" t="n"/>
      <c r="E17" s="163" t="n"/>
      <c r="F17" s="163" t="n"/>
      <c r="G17" s="163" t="n"/>
      <c r="H17" s="163" t="n"/>
      <c r="I17" s="163" t="n"/>
      <c r="J17" s="163" t="n"/>
      <c r="K17" s="163" t="n"/>
      <c r="L17" s="163" t="n"/>
      <c r="M17" s="163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122" t="n"/>
      <c r="B18" s="122" t="inlineStr">
        <is>
          <t>单价</t>
        </is>
      </c>
      <c r="C18" s="151">
        <f>ROUND(C19/C17,2)</f>
        <v/>
      </c>
      <c r="D18" s="151">
        <f>ROUND(D19/D17,2)</f>
        <v/>
      </c>
      <c r="E18" s="151">
        <f>ROUND(E19/E17,2)</f>
        <v/>
      </c>
      <c r="F18" s="151">
        <f>ROUND(F19/F17,2)</f>
        <v/>
      </c>
      <c r="G18" s="163" t="n"/>
      <c r="H18" s="163" t="n"/>
      <c r="I18" s="163" t="n"/>
      <c r="J18" s="163" t="n"/>
      <c r="K18" s="163" t="n"/>
      <c r="L18" s="163" t="n"/>
      <c r="M18" s="163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136" t="n"/>
      <c r="B19" s="136" t="inlineStr">
        <is>
          <t>收入</t>
        </is>
      </c>
      <c r="C19" s="164" t="n"/>
      <c r="D19" s="164" t="n"/>
      <c r="E19" s="164" t="n"/>
      <c r="F19" s="164" t="n"/>
      <c r="G19" s="150">
        <f>ROUND(G17*G18,2)</f>
        <v/>
      </c>
      <c r="H19" s="150">
        <f>ROUND(H17*H18,2)</f>
        <v/>
      </c>
      <c r="I19" s="150">
        <f>ROUND(I17*I18,2)</f>
        <v/>
      </c>
      <c r="J19" s="150">
        <f>ROUND(J17*J18,2)</f>
        <v/>
      </c>
      <c r="K19" s="150">
        <f>ROUND(K17*K18,2)</f>
        <v/>
      </c>
      <c r="L19" s="150">
        <f>ROUND(L17*L18,2)</f>
        <v/>
      </c>
      <c r="M19" s="150">
        <f>ROUND(M17*M18,2)</f>
        <v/>
      </c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134" t="n"/>
      <c r="B20" s="134" t="n"/>
      <c r="C20" s="161" t="n"/>
      <c r="D20" s="161" t="n"/>
      <c r="E20" s="161" t="n"/>
      <c r="F20" s="161" t="n"/>
      <c r="G20" s="161" t="n"/>
      <c r="H20" s="161" t="n"/>
      <c r="I20" s="161" t="n"/>
      <c r="J20" s="161" t="n"/>
      <c r="K20" s="161" t="n"/>
      <c r="L20" s="161" t="n"/>
      <c r="M20" s="161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134" t="n"/>
      <c r="B21" s="134" t="n"/>
      <c r="C21" s="161" t="n"/>
      <c r="D21" s="161" t="n"/>
      <c r="E21" s="161" t="n"/>
      <c r="F21" s="161" t="n"/>
      <c r="G21" s="161" t="n"/>
      <c r="H21" s="161" t="n"/>
      <c r="I21" s="161" t="n"/>
      <c r="J21" s="161" t="n"/>
      <c r="K21" s="161" t="n"/>
      <c r="L21" s="161" t="n"/>
      <c r="M21" s="161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136" t="inlineStr">
        <is>
          <t>其他业务收入小计</t>
        </is>
      </c>
      <c r="B22" s="136" t="n"/>
      <c r="C22" s="150">
        <f>SUMIF($B17:$B21,"收入",C17:C21)</f>
        <v/>
      </c>
      <c r="D22" s="150">
        <f>SUMIF($B17:$B21,"收入",D17:D21)</f>
        <v/>
      </c>
      <c r="E22" s="150">
        <f>SUMIF($B17:$B21,"收入",E17:E21)</f>
        <v/>
      </c>
      <c r="F22" s="150">
        <f>SUMIF($B17:$B21,"收入",F17:F21)</f>
        <v/>
      </c>
      <c r="G22" s="150">
        <f>SUMIF($B17:$B21,"收入",G17:G21)</f>
        <v/>
      </c>
      <c r="H22" s="150">
        <f>SUMIF($B17:$B21,"收入",H17:H21)</f>
        <v/>
      </c>
      <c r="I22" s="150">
        <f>SUMIF($B17:$B21,"收入",I17:I21)</f>
        <v/>
      </c>
      <c r="J22" s="150">
        <f>SUMIF($B17:$B21,"收入",J17:J21)</f>
        <v/>
      </c>
      <c r="K22" s="150">
        <f>SUMIF($B17:$B21,"收入",K17:K21)</f>
        <v/>
      </c>
      <c r="L22" s="150">
        <f>SUMIF($B17:$B21,"收入",L17:L21)</f>
        <v/>
      </c>
      <c r="M22" s="150">
        <f>SUMIF($B17:$B21,"收入",M17:M21)</f>
        <v/>
      </c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136" t="inlineStr">
        <is>
          <t>营业收入合计</t>
        </is>
      </c>
      <c r="B23" s="136" t="n"/>
      <c r="C23" s="150">
        <f>C15+C22</f>
        <v/>
      </c>
      <c r="D23" s="150">
        <f>D15+D22</f>
        <v/>
      </c>
      <c r="E23" s="150">
        <f>E15+E22</f>
        <v/>
      </c>
      <c r="F23" s="150">
        <f>F15+F22</f>
        <v/>
      </c>
      <c r="G23" s="150">
        <f>G15+G22</f>
        <v/>
      </c>
      <c r="H23" s="150">
        <f>H15+H22</f>
        <v/>
      </c>
      <c r="I23" s="150">
        <f>I15+I22</f>
        <v/>
      </c>
      <c r="J23" s="150">
        <f>J15+J22</f>
        <v/>
      </c>
      <c r="K23" s="150">
        <f>K15+K22</f>
        <v/>
      </c>
      <c r="L23" s="150">
        <f>L15+L22</f>
        <v/>
      </c>
      <c r="M23" s="150">
        <f>M15+M22</f>
        <v/>
      </c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31" t="inlineStr">
        <is>
          <t>【HD】主营业务收入核对</t>
        </is>
      </c>
      <c r="B25" s="152" t="n"/>
      <c r="C25" s="152">
        <f>C15-历利调整后表!D8</f>
        <v/>
      </c>
      <c r="D25" s="152">
        <f>D15-历利调整后表!G8</f>
        <v/>
      </c>
      <c r="E25" s="152">
        <f>E15-历利调整后表!J8</f>
        <v/>
      </c>
      <c r="F25" s="152">
        <f>F15-历利调整后表!M8</f>
        <v/>
      </c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31" t="inlineStr">
        <is>
          <t>【HD】其他业务收入核对</t>
        </is>
      </c>
      <c r="B26" s="152" t="n"/>
      <c r="C26" s="152">
        <f>C22-历利调整后表!D9</f>
        <v/>
      </c>
      <c r="D26" s="152">
        <f>D22-历利调整后表!G9</f>
        <v/>
      </c>
      <c r="E26" s="152">
        <f>E22-历利调整后表!J9</f>
        <v/>
      </c>
      <c r="F26" s="152">
        <f>F22-历利调整后表!M9</f>
        <v/>
      </c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31" t="inlineStr">
        <is>
          <t>【HD】营业收入核对</t>
        </is>
      </c>
      <c r="B27" s="152" t="n"/>
      <c r="C27" s="152">
        <f>C23-历利调整后表!D7</f>
        <v/>
      </c>
      <c r="D27" s="152">
        <f>D23-历利调整后表!G7</f>
        <v/>
      </c>
      <c r="E27" s="152">
        <f>E23-历利调整后表!J7</f>
        <v/>
      </c>
      <c r="F27" s="152">
        <f>F23-历利调整后表!M7</f>
        <v/>
      </c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0" sort="1" password="F563"/>
  <mergeCells count="6">
    <mergeCell ref="B4:B5"/>
    <mergeCell ref="A1:M1"/>
    <mergeCell ref="C4:F4"/>
    <mergeCell ref="A4:A5"/>
    <mergeCell ref="G4:M4"/>
    <mergeCell ref="A2:M2"/>
  </mergeCells>
  <conditionalFormatting sqref="B25:F27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227"/>
  <sheetViews>
    <sheetView workbookViewId="0">
      <pane xSplit="1" ySplit="5" topLeftCell="D6" activePane="bottomRight" state="frozen"/>
      <selection pane="topRight" activeCell="A1" sqref="A1"/>
      <selection pane="bottomLeft" activeCell="A1" sqref="A1"/>
      <selection pane="bottomRight" activeCell="D8" sqref="D8"/>
    </sheetView>
  </sheetViews>
  <sheetFormatPr baseColWidth="8" defaultColWidth="9.109375" defaultRowHeight="14.4"/>
  <cols>
    <col width="35" customWidth="1" style="1" min="1" max="1"/>
    <col hidden="1" width="15" customWidth="1" style="1" min="2" max="2"/>
    <col width="15" customWidth="1" style="1" min="3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营业成本分析预测表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121" t="inlineStr">
        <is>
          <t>产品/服务名称</t>
        </is>
      </c>
      <c r="B4" s="121" t="n"/>
      <c r="C4" s="121" t="inlineStr">
        <is>
          <t>历史数据</t>
        </is>
      </c>
      <c r="D4" s="154" t="n"/>
      <c r="E4" s="154" t="n"/>
      <c r="F4" s="155" t="n"/>
      <c r="G4" s="124" t="inlineStr">
        <is>
          <t>未来预测</t>
        </is>
      </c>
      <c r="H4" s="154" t="n"/>
      <c r="I4" s="154" t="n"/>
      <c r="J4" s="154" t="n"/>
      <c r="K4" s="154" t="n"/>
      <c r="L4" s="154" t="n"/>
      <c r="M4" s="15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47" t="n"/>
      <c r="B5" s="121" t="n"/>
      <c r="C5" s="121" t="inlineStr">
        <is>
          <t>2022年度</t>
        </is>
      </c>
      <c r="D5" s="121" t="inlineStr">
        <is>
          <t>2023年度</t>
        </is>
      </c>
      <c r="E5" s="121" t="inlineStr">
        <is>
          <t>2024年度</t>
        </is>
      </c>
      <c r="F5" s="121" t="inlineStr">
        <is>
          <t>2025年1-6月</t>
        </is>
      </c>
      <c r="G5" s="124" t="inlineStr">
        <is>
          <t>2025年7-12月</t>
        </is>
      </c>
      <c r="H5" s="124" t="inlineStr">
        <is>
          <t>2026年度</t>
        </is>
      </c>
      <c r="I5" s="124" t="inlineStr">
        <is>
          <t>2027年度</t>
        </is>
      </c>
      <c r="J5" s="124" t="inlineStr">
        <is>
          <t>2028年度</t>
        </is>
      </c>
      <c r="K5" s="124" t="inlineStr">
        <is>
          <t>2029年度</t>
        </is>
      </c>
      <c r="L5" s="124" t="inlineStr">
        <is>
          <t>2030年度</t>
        </is>
      </c>
      <c r="M5" s="124" t="inlineStr">
        <is>
          <t>永续年度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22" t="inlineStr">
        <is>
          <t>主营业务成本：</t>
        </is>
      </c>
      <c r="B6" s="7" t="n"/>
      <c r="C6" s="148" t="n"/>
      <c r="D6" s="148" t="n"/>
      <c r="E6" s="148" t="n"/>
      <c r="F6" s="148" t="n"/>
      <c r="G6" s="148" t="n"/>
      <c r="H6" s="148" t="n"/>
      <c r="I6" s="148" t="n"/>
      <c r="J6" s="148" t="n"/>
      <c r="K6" s="148" t="n"/>
      <c r="L6" s="148" t="n"/>
      <c r="M6" s="148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22" t="n"/>
      <c r="B7" s="134" t="n"/>
      <c r="C7" s="156">
        <f>营业成本附表!C17</f>
        <v/>
      </c>
      <c r="D7" s="156">
        <f>营业成本附表!D17</f>
        <v/>
      </c>
      <c r="E7" s="156">
        <f>营业成本附表!E17</f>
        <v/>
      </c>
      <c r="F7" s="156">
        <f>营业成本附表!F17</f>
        <v/>
      </c>
      <c r="G7" s="156">
        <f>营业成本附表!G17</f>
        <v/>
      </c>
      <c r="H7" s="156">
        <f>营业成本附表!H17</f>
        <v/>
      </c>
      <c r="I7" s="156">
        <f>营业成本附表!I17</f>
        <v/>
      </c>
      <c r="J7" s="156">
        <f>营业成本附表!J17</f>
        <v/>
      </c>
      <c r="K7" s="156">
        <f>营业成本附表!K17</f>
        <v/>
      </c>
      <c r="L7" s="156">
        <f>营业成本附表!L17</f>
        <v/>
      </c>
      <c r="M7" s="156">
        <f>营业成本附表!M17</f>
        <v/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22" t="inlineStr">
        <is>
          <t>其他</t>
        </is>
      </c>
      <c r="B8" s="134" t="n"/>
      <c r="C8" s="156">
        <f>营业成本附表!C20</f>
        <v/>
      </c>
      <c r="D8" s="156">
        <f>营业成本附表!D20</f>
        <v/>
      </c>
      <c r="E8" s="156">
        <f>营业成本附表!E20</f>
        <v/>
      </c>
      <c r="F8" s="156">
        <f>营业成本附表!F20</f>
        <v/>
      </c>
      <c r="G8" s="156">
        <f>营业成本附表!G20</f>
        <v/>
      </c>
      <c r="H8" s="156">
        <f>营业成本附表!H20</f>
        <v/>
      </c>
      <c r="I8" s="156">
        <f>营业成本附表!I20</f>
        <v/>
      </c>
      <c r="J8" s="156">
        <f>营业成本附表!J20</f>
        <v/>
      </c>
      <c r="K8" s="156">
        <f>营业成本附表!K20</f>
        <v/>
      </c>
      <c r="L8" s="156">
        <f>营业成本附表!L20</f>
        <v/>
      </c>
      <c r="M8" s="156">
        <f>营业成本附表!M20</f>
        <v/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34" t="n"/>
      <c r="B9" s="134" t="n"/>
      <c r="C9" s="161" t="n"/>
      <c r="D9" s="161" t="n"/>
      <c r="E9" s="161" t="n"/>
      <c r="F9" s="161" t="n"/>
      <c r="G9" s="161" t="n"/>
      <c r="H9" s="161" t="n"/>
      <c r="I9" s="161" t="n"/>
      <c r="J9" s="161" t="n"/>
      <c r="K9" s="161" t="n"/>
      <c r="L9" s="161" t="n"/>
      <c r="M9" s="161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134" t="n"/>
      <c r="B10" s="134" t="n"/>
      <c r="C10" s="161" t="n"/>
      <c r="D10" s="161" t="n"/>
      <c r="E10" s="161" t="n"/>
      <c r="F10" s="161" t="n"/>
      <c r="G10" s="161" t="n"/>
      <c r="H10" s="161" t="n"/>
      <c r="I10" s="161" t="n"/>
      <c r="J10" s="161" t="n"/>
      <c r="K10" s="161" t="n"/>
      <c r="L10" s="161" t="n"/>
      <c r="M10" s="161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136" t="inlineStr">
        <is>
          <t>主营业务成本小计</t>
        </is>
      </c>
      <c r="B11" s="137" t="n"/>
      <c r="C11" s="150">
        <f>SUM(C7:C10)</f>
        <v/>
      </c>
      <c r="D11" s="150">
        <f>SUM(D7:D10)</f>
        <v/>
      </c>
      <c r="E11" s="150">
        <f>SUM(E7:E10)</f>
        <v/>
      </c>
      <c r="F11" s="150">
        <f>SUM(F7:F10)</f>
        <v/>
      </c>
      <c r="G11" s="150">
        <f>SUM(G7:G10)</f>
        <v/>
      </c>
      <c r="H11" s="150">
        <f>SUM(H7:H10)</f>
        <v/>
      </c>
      <c r="I11" s="150">
        <f>SUM(I7:I10)</f>
        <v/>
      </c>
      <c r="J11" s="150">
        <f>SUM(J7:J10)</f>
        <v/>
      </c>
      <c r="K11" s="150">
        <f>SUM(K7:K10)</f>
        <v/>
      </c>
      <c r="L11" s="150">
        <f>SUM(L7:L10)</f>
        <v/>
      </c>
      <c r="M11" s="150">
        <f>SUM(M7:M10)</f>
        <v/>
      </c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122" t="inlineStr">
        <is>
          <t>其他业务成本：</t>
        </is>
      </c>
      <c r="B12" s="7" t="n"/>
      <c r="C12" s="148" t="n"/>
      <c r="D12" s="148" t="n"/>
      <c r="E12" s="148" t="n"/>
      <c r="F12" s="148" t="n"/>
      <c r="G12" s="148" t="n"/>
      <c r="H12" s="148" t="n"/>
      <c r="I12" s="148" t="n"/>
      <c r="J12" s="148" t="n"/>
      <c r="K12" s="148" t="n"/>
      <c r="L12" s="148" t="n"/>
      <c r="M12" s="148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122" t="inlineStr">
        <is>
          <t>其他</t>
        </is>
      </c>
      <c r="B13" s="134" t="n"/>
      <c r="C13" s="156">
        <f>营业成本附表!C27</f>
        <v/>
      </c>
      <c r="D13" s="156">
        <f>营业成本附表!D27</f>
        <v/>
      </c>
      <c r="E13" s="156">
        <f>营业成本附表!E27</f>
        <v/>
      </c>
      <c r="F13" s="156">
        <f>营业成本附表!F27</f>
        <v/>
      </c>
      <c r="G13" s="156">
        <f>营业成本附表!G27</f>
        <v/>
      </c>
      <c r="H13" s="156">
        <f>营业成本附表!H27</f>
        <v/>
      </c>
      <c r="I13" s="156">
        <f>营业成本附表!I27</f>
        <v/>
      </c>
      <c r="J13" s="156">
        <f>营业成本附表!J27</f>
        <v/>
      </c>
      <c r="K13" s="156">
        <f>营业成本附表!K27</f>
        <v/>
      </c>
      <c r="L13" s="156">
        <f>营业成本附表!L27</f>
        <v/>
      </c>
      <c r="M13" s="156">
        <f>营业成本附表!M27</f>
        <v/>
      </c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134" t="n"/>
      <c r="B14" s="134" t="n"/>
      <c r="C14" s="161" t="n"/>
      <c r="D14" s="161" t="n"/>
      <c r="E14" s="161" t="n"/>
      <c r="F14" s="161" t="n"/>
      <c r="G14" s="161" t="n"/>
      <c r="H14" s="161" t="n"/>
      <c r="I14" s="161" t="n"/>
      <c r="J14" s="161" t="n"/>
      <c r="K14" s="161" t="n"/>
      <c r="L14" s="161" t="n"/>
      <c r="M14" s="161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134" t="n"/>
      <c r="B15" s="134" t="n"/>
      <c r="C15" s="161" t="n"/>
      <c r="D15" s="161" t="n"/>
      <c r="E15" s="161" t="n"/>
      <c r="F15" s="161" t="n"/>
      <c r="G15" s="161" t="n"/>
      <c r="H15" s="161" t="n"/>
      <c r="I15" s="161" t="n"/>
      <c r="J15" s="161" t="n"/>
      <c r="K15" s="161" t="n"/>
      <c r="L15" s="161" t="n"/>
      <c r="M15" s="161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136" t="inlineStr">
        <is>
          <t>其他业务成本小计</t>
        </is>
      </c>
      <c r="B16" s="137" t="n"/>
      <c r="C16" s="150">
        <f>SUM(C13:C15)</f>
        <v/>
      </c>
      <c r="D16" s="150">
        <f>SUM(D13:D15)</f>
        <v/>
      </c>
      <c r="E16" s="150">
        <f>SUM(E13:E15)</f>
        <v/>
      </c>
      <c r="F16" s="150">
        <f>SUM(F13:F15)</f>
        <v/>
      </c>
      <c r="G16" s="150">
        <f>SUM(G13:G15)</f>
        <v/>
      </c>
      <c r="H16" s="150">
        <f>SUM(H13:H15)</f>
        <v/>
      </c>
      <c r="I16" s="150">
        <f>SUM(I13:I15)</f>
        <v/>
      </c>
      <c r="J16" s="150">
        <f>SUM(J13:J15)</f>
        <v/>
      </c>
      <c r="K16" s="150">
        <f>SUM(K13:K15)</f>
        <v/>
      </c>
      <c r="L16" s="150">
        <f>SUM(L13:L15)</f>
        <v/>
      </c>
      <c r="M16" s="150">
        <f>SUM(M13:M15)</f>
        <v/>
      </c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136" t="inlineStr">
        <is>
          <t>营业成本合计</t>
        </is>
      </c>
      <c r="B17" s="137" t="n"/>
      <c r="C17" s="150">
        <f>C11+C16</f>
        <v/>
      </c>
      <c r="D17" s="150">
        <f>D11+D16</f>
        <v/>
      </c>
      <c r="E17" s="150">
        <f>E11+E16</f>
        <v/>
      </c>
      <c r="F17" s="150">
        <f>F11+F16</f>
        <v/>
      </c>
      <c r="G17" s="150">
        <f>G11+G16</f>
        <v/>
      </c>
      <c r="H17" s="150">
        <f>H11+H16</f>
        <v/>
      </c>
      <c r="I17" s="150">
        <f>I11+I16</f>
        <v/>
      </c>
      <c r="J17" s="150">
        <f>J11+J16</f>
        <v/>
      </c>
      <c r="K17" s="150">
        <f>K11+K16</f>
        <v/>
      </c>
      <c r="L17" s="150">
        <f>L11+L16</f>
        <v/>
      </c>
      <c r="M17" s="150">
        <f>M11+M16</f>
        <v/>
      </c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31" t="inlineStr">
        <is>
          <t>主营业务成本</t>
        </is>
      </c>
      <c r="B19" s="31" t="n"/>
      <c r="C19" s="31" t="inlineStr">
        <is>
          <t>增长率（%）</t>
        </is>
      </c>
      <c r="D19" s="33">
        <f>ROUND((D11-C11)/C11,4)</f>
        <v/>
      </c>
      <c r="E19" s="33">
        <f>ROUND((E11-D11)/D11,4)</f>
        <v/>
      </c>
      <c r="F19" s="33">
        <f>ROUND((F11/6*12-E11)/E11,4)</f>
        <v/>
      </c>
      <c r="G19" s="33">
        <f>ROUND((G11+F11-E11)/E11,4)</f>
        <v/>
      </c>
      <c r="H19" s="33">
        <f>ROUND((H11-(G11+F11))/(G11+F11),4)</f>
        <v/>
      </c>
      <c r="I19" s="33">
        <f>ROUND((I11-H11)/H11,4)</f>
        <v/>
      </c>
      <c r="J19" s="33">
        <f>ROUND((J11-I11)/I11,4)</f>
        <v/>
      </c>
      <c r="K19" s="33">
        <f>ROUND((K11-J11)/J11,4)</f>
        <v/>
      </c>
      <c r="L19" s="33">
        <f>ROUND((L11-K11)/K11,4)</f>
        <v/>
      </c>
      <c r="M19" s="33">
        <f>ROUND((M11-L11)/L11,4)</f>
        <v/>
      </c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31" t="inlineStr"/>
      <c r="B20" s="31" t="n"/>
      <c r="C20" s="31" t="inlineStr">
        <is>
          <t>复合增长率（%）</t>
        </is>
      </c>
      <c r="D20" s="33" t="n"/>
      <c r="E20" s="33" t="n"/>
      <c r="F20" s="56">
        <f>ROUND(((F11/6*12)/C11)^(1/3),4)-1</f>
        <v/>
      </c>
      <c r="G20" s="33" t="n"/>
      <c r="H20" s="33" t="n"/>
      <c r="I20" s="33" t="n"/>
      <c r="J20" s="33" t="n"/>
      <c r="K20" s="33" t="n"/>
      <c r="L20" s="56">
        <f>ROUND((L11/(G11+F11))^(1/5),4)-1</f>
        <v/>
      </c>
      <c r="M20" s="33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31" t="inlineStr">
        <is>
          <t>其他业务成本</t>
        </is>
      </c>
      <c r="B21" s="31" t="n"/>
      <c r="C21" s="31" t="inlineStr">
        <is>
          <t>增长率（%）</t>
        </is>
      </c>
      <c r="D21" s="33">
        <f>ROUND((D16-C16)/C16,4)</f>
        <v/>
      </c>
      <c r="E21" s="33">
        <f>ROUND((E16-D16)/D16,4)</f>
        <v/>
      </c>
      <c r="F21" s="33">
        <f>ROUND((F16/6*12-E16)/E16,4)</f>
        <v/>
      </c>
      <c r="G21" s="33">
        <f>ROUND((G16+F16-E16)/E16,4)</f>
        <v/>
      </c>
      <c r="H21" s="33">
        <f>ROUND((H16-(G16+F16))/(G16+F16),4)</f>
        <v/>
      </c>
      <c r="I21" s="33">
        <f>ROUND((I16-H16)/H16,4)</f>
        <v/>
      </c>
      <c r="J21" s="33">
        <f>ROUND((J16-I16)/I16,4)</f>
        <v/>
      </c>
      <c r="K21" s="33">
        <f>ROUND((K16-J16)/J16,4)</f>
        <v/>
      </c>
      <c r="L21" s="33">
        <f>ROUND((L16-K16)/K16,4)</f>
        <v/>
      </c>
      <c r="M21" s="33">
        <f>ROUND((M16-L16)/L16,4)</f>
        <v/>
      </c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31" t="inlineStr"/>
      <c r="B22" s="31" t="n"/>
      <c r="C22" s="31" t="inlineStr">
        <is>
          <t>复合增长率（%）</t>
        </is>
      </c>
      <c r="D22" s="33" t="n"/>
      <c r="E22" s="33" t="n"/>
      <c r="F22" s="56">
        <f>ROUND(((F16/6*12)/C16)^(1/3),4)-1</f>
        <v/>
      </c>
      <c r="G22" s="33" t="n"/>
      <c r="H22" s="33" t="n"/>
      <c r="I22" s="33" t="n"/>
      <c r="J22" s="33" t="n"/>
      <c r="K22" s="33" t="n"/>
      <c r="L22" s="56">
        <f>ROUND((L16/(G16+F16))^(1/5),4)-1</f>
        <v/>
      </c>
      <c r="M22" s="33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31" t="inlineStr">
        <is>
          <t>营业成本</t>
        </is>
      </c>
      <c r="B23" s="31" t="n"/>
      <c r="C23" s="31" t="inlineStr">
        <is>
          <t>增长率（%）</t>
        </is>
      </c>
      <c r="D23" s="33">
        <f>ROUND((D17-C17)/C17,4)</f>
        <v/>
      </c>
      <c r="E23" s="33">
        <f>ROUND((E17-D17)/D17,4)</f>
        <v/>
      </c>
      <c r="F23" s="33">
        <f>ROUND((F17/6*12-E17)/E17,4)</f>
        <v/>
      </c>
      <c r="G23" s="33">
        <f>ROUND((G17+F17-E17)/E17,4)</f>
        <v/>
      </c>
      <c r="H23" s="33">
        <f>ROUND((H17-(G17+F17))/(G17+F17),4)</f>
        <v/>
      </c>
      <c r="I23" s="33">
        <f>ROUND((I17-H17)/H17,4)</f>
        <v/>
      </c>
      <c r="J23" s="33">
        <f>ROUND((J17-I17)/I17,4)</f>
        <v/>
      </c>
      <c r="K23" s="33">
        <f>ROUND((K17-J17)/J17,4)</f>
        <v/>
      </c>
      <c r="L23" s="33">
        <f>ROUND((L17-K17)/K17,4)</f>
        <v/>
      </c>
      <c r="M23" s="33">
        <f>ROUND((M17-L17)/L17,4)</f>
        <v/>
      </c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31" t="inlineStr"/>
      <c r="B24" s="31" t="n"/>
      <c r="C24" s="31" t="inlineStr">
        <is>
          <t>复合增长率（%）</t>
        </is>
      </c>
      <c r="D24" s="33" t="n"/>
      <c r="E24" s="33" t="n"/>
      <c r="F24" s="56">
        <f>ROUND(((F17/6*12)/C17)^(1/3),4)-1</f>
        <v/>
      </c>
      <c r="G24" s="33" t="n"/>
      <c r="H24" s="33" t="n"/>
      <c r="I24" s="33" t="n"/>
      <c r="J24" s="33" t="n"/>
      <c r="K24" s="33" t="n"/>
      <c r="L24" s="56">
        <f>ROUND((L17/(G17+F17))^(1/5),4)-1</f>
        <v/>
      </c>
      <c r="M24" s="33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31" t="inlineStr">
        <is>
          <t>主营业务毛利率</t>
        </is>
      </c>
      <c r="B25" s="31" t="n"/>
      <c r="C25" s="57">
        <f>ROUND((1-C11/营业收入表!C11),4)</f>
        <v/>
      </c>
      <c r="D25" s="33">
        <f>ROUND((1-D11/营业收入表!D11),4)</f>
        <v/>
      </c>
      <c r="E25" s="33">
        <f>ROUND((1-E11/营业收入表!E11),4)</f>
        <v/>
      </c>
      <c r="F25" s="33">
        <f>ROUND((1-F11/营业收入表!F11),4)</f>
        <v/>
      </c>
      <c r="G25" s="33">
        <f>ROUND((1-G11/营业收入表!G11),4)</f>
        <v/>
      </c>
      <c r="H25" s="33">
        <f>ROUND((1-H11/营业收入表!H11),4)</f>
        <v/>
      </c>
      <c r="I25" s="33">
        <f>ROUND((1-I11/营业收入表!I11),4)</f>
        <v/>
      </c>
      <c r="J25" s="33">
        <f>ROUND((1-J11/营业收入表!J11),4)</f>
        <v/>
      </c>
      <c r="K25" s="33">
        <f>ROUND((1-K11/营业收入表!K11),4)</f>
        <v/>
      </c>
      <c r="L25" s="33">
        <f>ROUND((1-L11/营业收入表!L11),4)</f>
        <v/>
      </c>
      <c r="M25" s="33">
        <f>ROUND((1-M11/营业收入表!M11),4)</f>
        <v/>
      </c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31" t="inlineStr">
        <is>
          <t>其他业务毛利率</t>
        </is>
      </c>
      <c r="B26" s="31" t="n"/>
      <c r="C26" s="57">
        <f>ROUND((1-C16/营业收入表!C16),4)</f>
        <v/>
      </c>
      <c r="D26" s="33">
        <f>ROUND((1-D16/营业收入表!D16),4)</f>
        <v/>
      </c>
      <c r="E26" s="33">
        <f>ROUND((1-E16/营业收入表!E16),4)</f>
        <v/>
      </c>
      <c r="F26" s="33">
        <f>ROUND((1-F16/营业收入表!F16),4)</f>
        <v/>
      </c>
      <c r="G26" s="33">
        <f>ROUND((1-G16/营业收入表!G16),4)</f>
        <v/>
      </c>
      <c r="H26" s="33">
        <f>ROUND((1-H16/营业收入表!H16),4)</f>
        <v/>
      </c>
      <c r="I26" s="33">
        <f>ROUND((1-I16/营业收入表!I16),4)</f>
        <v/>
      </c>
      <c r="J26" s="33">
        <f>ROUND((1-J16/营业收入表!J16),4)</f>
        <v/>
      </c>
      <c r="K26" s="33">
        <f>ROUND((1-K16/营业收入表!K16),4)</f>
        <v/>
      </c>
      <c r="L26" s="33">
        <f>ROUND((1-L16/营业收入表!L16),4)</f>
        <v/>
      </c>
      <c r="M26" s="33">
        <f>ROUND((1-M16/营业收入表!M16),4)</f>
        <v/>
      </c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31" t="inlineStr">
        <is>
          <t>核对</t>
        </is>
      </c>
      <c r="B27" s="31" t="n"/>
      <c r="C27" s="162">
        <f>C17-营业成本附表!C31</f>
        <v/>
      </c>
      <c r="D27" s="152">
        <f>D17-营业成本附表!D31</f>
        <v/>
      </c>
      <c r="E27" s="152">
        <f>E17-营业成本附表!E31</f>
        <v/>
      </c>
      <c r="F27" s="152">
        <f>F17-营业成本附表!F31</f>
        <v/>
      </c>
      <c r="G27" s="152">
        <f>G17-营业成本附表!G31</f>
        <v/>
      </c>
      <c r="H27" s="152">
        <f>H17-营业成本附表!H31</f>
        <v/>
      </c>
      <c r="I27" s="152">
        <f>I17-营业成本附表!I31</f>
        <v/>
      </c>
      <c r="J27" s="152">
        <f>J17-营业成本附表!J31</f>
        <v/>
      </c>
      <c r="K27" s="152">
        <f>K17-营业成本附表!K31</f>
        <v/>
      </c>
      <c r="L27" s="152">
        <f>L17-营业成本附表!L31</f>
        <v/>
      </c>
      <c r="M27" s="152">
        <f>M17-营业成本附表!M31</f>
        <v/>
      </c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0" sort="1" password="F563"/>
  <mergeCells count="5">
    <mergeCell ref="A1:M1"/>
    <mergeCell ref="C4:F4"/>
    <mergeCell ref="A4:A5"/>
    <mergeCell ref="G4:M4"/>
    <mergeCell ref="A2:M2"/>
  </mergeCells>
  <conditionalFormatting sqref="C27:M27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239"/>
  <sheetViews>
    <sheetView workbookViewId="0">
      <pane xSplit="2" ySplit="5" topLeftCell="E26" activePane="bottomRight" state="frozen"/>
      <selection pane="topRight" activeCell="A1" sqref="A1"/>
      <selection pane="bottomLeft" activeCell="A1" sqref="A1"/>
      <selection pane="bottomRight" activeCell="D9" sqref="D9:L9"/>
    </sheetView>
  </sheetViews>
  <sheetFormatPr baseColWidth="8" defaultColWidth="9.109375" defaultRowHeight="14.4"/>
  <cols>
    <col width="35" customWidth="1" style="1" min="1" max="1"/>
    <col width="15" customWidth="1" style="1" min="2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营业成本分析预测表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121" t="inlineStr">
        <is>
          <t>产品/服务名称</t>
        </is>
      </c>
      <c r="B4" s="121" t="inlineStr">
        <is>
          <t>项目</t>
        </is>
      </c>
      <c r="C4" s="121" t="inlineStr">
        <is>
          <t>历史数据</t>
        </is>
      </c>
      <c r="D4" s="154" t="n"/>
      <c r="E4" s="154" t="n"/>
      <c r="F4" s="155" t="n"/>
      <c r="G4" s="124" t="inlineStr">
        <is>
          <t>未来预测</t>
        </is>
      </c>
      <c r="H4" s="154" t="n"/>
      <c r="I4" s="154" t="n"/>
      <c r="J4" s="154" t="n"/>
      <c r="K4" s="154" t="n"/>
      <c r="L4" s="154" t="n"/>
      <c r="M4" s="15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47" t="n"/>
      <c r="B5" s="147" t="n"/>
      <c r="C5" s="121" t="inlineStr">
        <is>
          <t>2022年度</t>
        </is>
      </c>
      <c r="D5" s="121" t="inlineStr">
        <is>
          <t>2023年度</t>
        </is>
      </c>
      <c r="E5" s="121" t="inlineStr">
        <is>
          <t>2024年度</t>
        </is>
      </c>
      <c r="F5" s="121" t="inlineStr">
        <is>
          <t>2025年1-6月</t>
        </is>
      </c>
      <c r="G5" s="124" t="inlineStr">
        <is>
          <t>2025年7-12月</t>
        </is>
      </c>
      <c r="H5" s="124" t="inlineStr">
        <is>
          <t>2026年度</t>
        </is>
      </c>
      <c r="I5" s="124" t="inlineStr">
        <is>
          <t>2027年度</t>
        </is>
      </c>
      <c r="J5" s="124" t="inlineStr">
        <is>
          <t>2028年度</t>
        </is>
      </c>
      <c r="K5" s="124" t="inlineStr">
        <is>
          <t>2029年度</t>
        </is>
      </c>
      <c r="L5" s="124" t="inlineStr">
        <is>
          <t>2030年度</t>
        </is>
      </c>
      <c r="M5" s="124" t="inlineStr">
        <is>
          <t>永续年度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22" t="inlineStr">
        <is>
          <t>主营业务成本：</t>
        </is>
      </c>
      <c r="B6" s="7" t="n"/>
      <c r="C6" s="148" t="n"/>
      <c r="D6" s="148" t="n"/>
      <c r="E6" s="148" t="n"/>
      <c r="F6" s="148" t="n"/>
      <c r="G6" s="148" t="n"/>
      <c r="H6" s="148" t="n"/>
      <c r="I6" s="148" t="n"/>
      <c r="J6" s="148" t="n"/>
      <c r="K6" s="148" t="n"/>
      <c r="L6" s="148" t="n"/>
      <c r="M6" s="148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22" t="n"/>
      <c r="B7" s="122" t="inlineStr">
        <is>
          <t>材料</t>
        </is>
      </c>
      <c r="C7" s="163" t="n"/>
      <c r="D7" s="163" t="n"/>
      <c r="E7" s="163" t="n"/>
      <c r="F7" s="163" t="n"/>
      <c r="G7" s="163" t="n"/>
      <c r="H7" s="163" t="n"/>
      <c r="I7" s="163" t="n"/>
      <c r="J7" s="163" t="n"/>
      <c r="K7" s="163" t="n"/>
      <c r="L7" s="163" t="n"/>
      <c r="M7" s="163">
        <f>L7</f>
        <v/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22" t="n"/>
      <c r="B8" s="122" t="inlineStr">
        <is>
          <t>人工</t>
        </is>
      </c>
      <c r="C8" s="163" t="n"/>
      <c r="D8" s="163" t="n"/>
      <c r="E8" s="163" t="n"/>
      <c r="F8" s="163" t="n"/>
      <c r="G8" s="163" t="n"/>
      <c r="H8" s="163" t="n"/>
      <c r="I8" s="163" t="n"/>
      <c r="J8" s="163" t="n"/>
      <c r="K8" s="163" t="n"/>
      <c r="L8" s="163" t="n"/>
      <c r="M8" s="163">
        <f>L8</f>
        <v/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22" t="n"/>
      <c r="B9" s="122" t="inlineStr">
        <is>
          <t>制造费用</t>
        </is>
      </c>
      <c r="C9" s="163" t="n"/>
      <c r="D9" s="163" t="n"/>
      <c r="E9" s="163" t="n"/>
      <c r="F9" s="163" t="n"/>
      <c r="G9" s="163" t="n"/>
      <c r="H9" s="163" t="n"/>
      <c r="I9" s="163" t="n"/>
      <c r="J9" s="163" t="n"/>
      <c r="K9" s="163" t="n"/>
      <c r="L9" s="163" t="n"/>
      <c r="M9" s="163">
        <f>L9</f>
        <v/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122" t="n"/>
      <c r="B10" s="122" t="inlineStr">
        <is>
          <t>折旧</t>
        </is>
      </c>
      <c r="C10" s="163" t="n"/>
      <c r="D10" s="163" t="n"/>
      <c r="E10" s="163" t="n"/>
      <c r="F10" s="163" t="n"/>
      <c r="G10" s="163" t="n"/>
      <c r="H10" s="163" t="n"/>
      <c r="I10" s="163" t="n"/>
      <c r="J10" s="163" t="n"/>
      <c r="K10" s="163" t="n"/>
      <c r="L10" s="163" t="n"/>
      <c r="M10" s="163">
        <f>L10</f>
        <v/>
      </c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122" t="n"/>
      <c r="B11" s="122" t="inlineStr">
        <is>
          <t>摊销</t>
        </is>
      </c>
      <c r="C11" s="163" t="n"/>
      <c r="D11" s="163" t="n"/>
      <c r="E11" s="163" t="n"/>
      <c r="F11" s="163" t="n"/>
      <c r="G11" s="163" t="n"/>
      <c r="H11" s="163" t="n"/>
      <c r="I11" s="163" t="n"/>
      <c r="J11" s="163" t="n"/>
      <c r="K11" s="163" t="n"/>
      <c r="L11" s="163" t="n"/>
      <c r="M11" s="163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 hidden="1">
      <c r="A12" s="122" t="n"/>
      <c r="B12" s="52" t="n"/>
      <c r="C12" s="163" t="n"/>
      <c r="D12" s="163" t="n"/>
      <c r="E12" s="163" t="n"/>
      <c r="F12" s="163" t="n"/>
      <c r="G12" s="163" t="n"/>
      <c r="H12" s="163" t="n"/>
      <c r="I12" s="163" t="n"/>
      <c r="J12" s="163" t="n"/>
      <c r="K12" s="163" t="n"/>
      <c r="L12" s="163" t="n"/>
      <c r="M12" s="163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 hidden="1">
      <c r="A13" s="122" t="n"/>
      <c r="B13" s="52" t="n"/>
      <c r="C13" s="163" t="n"/>
      <c r="D13" s="163" t="n"/>
      <c r="E13" s="163" t="n"/>
      <c r="F13" s="163" t="n"/>
      <c r="G13" s="163" t="n"/>
      <c r="H13" s="163" t="n"/>
      <c r="I13" s="163" t="n"/>
      <c r="J13" s="163" t="n"/>
      <c r="K13" s="163" t="n"/>
      <c r="L13" s="163" t="n"/>
      <c r="M13" s="163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 hidden="1">
      <c r="A14" s="122" t="n"/>
      <c r="B14" s="52" t="n"/>
      <c r="C14" s="163" t="n"/>
      <c r="D14" s="163" t="n"/>
      <c r="E14" s="163" t="n"/>
      <c r="F14" s="163" t="n"/>
      <c r="G14" s="163" t="n"/>
      <c r="H14" s="163" t="n"/>
      <c r="I14" s="163" t="n"/>
      <c r="J14" s="163" t="n"/>
      <c r="K14" s="163" t="n"/>
      <c r="L14" s="163" t="n"/>
      <c r="M14" s="163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 hidden="1">
      <c r="A15" s="122" t="n"/>
      <c r="B15" s="52" t="n"/>
      <c r="C15" s="163" t="n"/>
      <c r="D15" s="163" t="n"/>
      <c r="E15" s="163" t="n"/>
      <c r="F15" s="163" t="n"/>
      <c r="G15" s="163" t="n"/>
      <c r="H15" s="163" t="n"/>
      <c r="I15" s="163" t="n"/>
      <c r="J15" s="163" t="n"/>
      <c r="K15" s="163" t="n"/>
      <c r="L15" s="163" t="n"/>
      <c r="M15" s="163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 hidden="1">
      <c r="A16" s="122" t="n"/>
      <c r="B16" s="52" t="n"/>
      <c r="C16" s="163" t="n"/>
      <c r="D16" s="163" t="n"/>
      <c r="E16" s="163" t="n"/>
      <c r="F16" s="163" t="n"/>
      <c r="G16" s="163" t="n"/>
      <c r="H16" s="163" t="n"/>
      <c r="I16" s="163" t="n"/>
      <c r="J16" s="163" t="n"/>
      <c r="K16" s="163" t="n"/>
      <c r="L16" s="163" t="n"/>
      <c r="M16" s="163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136" t="n"/>
      <c r="B17" s="136" t="inlineStr">
        <is>
          <t>成本</t>
        </is>
      </c>
      <c r="C17" s="150">
        <f>SUM(C7:C16)</f>
        <v/>
      </c>
      <c r="D17" s="150">
        <f>SUM(D7:D16)</f>
        <v/>
      </c>
      <c r="E17" s="150">
        <f>SUM(E7:E16)</f>
        <v/>
      </c>
      <c r="F17" s="150">
        <f>SUM(F7:F16)</f>
        <v/>
      </c>
      <c r="G17" s="150">
        <f>SUM(G7:G16)</f>
        <v/>
      </c>
      <c r="H17" s="150">
        <f>SUM(H7:H16)</f>
        <v/>
      </c>
      <c r="I17" s="150">
        <f>SUM(I7:I16)</f>
        <v/>
      </c>
      <c r="J17" s="150">
        <f>SUM(J7:J16)</f>
        <v/>
      </c>
      <c r="K17" s="150">
        <f>SUM(K7:K16)</f>
        <v/>
      </c>
      <c r="L17" s="150">
        <f>SUM(L7:L16)</f>
        <v/>
      </c>
      <c r="M17" s="150">
        <f>SUM(M7:M16)</f>
        <v/>
      </c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122" t="inlineStr">
        <is>
          <t>其他</t>
        </is>
      </c>
      <c r="B18" s="122" t="inlineStr">
        <is>
          <t>数量</t>
        </is>
      </c>
      <c r="C18" s="156">
        <f>营业收入附表!C10</f>
        <v/>
      </c>
      <c r="D18" s="156">
        <f>营业收入附表!D10</f>
        <v/>
      </c>
      <c r="E18" s="156">
        <f>营业收入附表!E10</f>
        <v/>
      </c>
      <c r="F18" s="156">
        <f>营业收入附表!F10</f>
        <v/>
      </c>
      <c r="G18" s="156">
        <f>营业收入附表!G10</f>
        <v/>
      </c>
      <c r="H18" s="156">
        <f>营业收入附表!H10</f>
        <v/>
      </c>
      <c r="I18" s="156">
        <f>营业收入附表!I10</f>
        <v/>
      </c>
      <c r="J18" s="156">
        <f>营业收入附表!J10</f>
        <v/>
      </c>
      <c r="K18" s="156">
        <f>营业收入附表!K10</f>
        <v/>
      </c>
      <c r="L18" s="156">
        <f>营业收入附表!L10</f>
        <v/>
      </c>
      <c r="M18" s="156">
        <f>营业收入附表!M10</f>
        <v/>
      </c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122" t="n"/>
      <c r="B19" s="122" t="inlineStr">
        <is>
          <t>单价</t>
        </is>
      </c>
      <c r="C19" s="151">
        <f>ROUND(C20/C18,2)</f>
        <v/>
      </c>
      <c r="D19" s="151">
        <f>ROUND(D20/D18,2)</f>
        <v/>
      </c>
      <c r="E19" s="151">
        <f>ROUND(E20/E18,2)</f>
        <v/>
      </c>
      <c r="F19" s="151">
        <f>ROUND(F20/F18,2)</f>
        <v/>
      </c>
      <c r="G19" s="163" t="n"/>
      <c r="H19" s="163" t="n"/>
      <c r="I19" s="163" t="n"/>
      <c r="J19" s="163" t="n"/>
      <c r="K19" s="163" t="n"/>
      <c r="L19" s="163" t="n"/>
      <c r="M19" s="163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136" t="n"/>
      <c r="B20" s="136" t="inlineStr">
        <is>
          <t>成本</t>
        </is>
      </c>
      <c r="C20" s="164" t="n"/>
      <c r="D20" s="164" t="n"/>
      <c r="E20" s="164" t="n"/>
      <c r="F20" s="164" t="n"/>
      <c r="G20" s="150">
        <f>ROUND(G18*G19,2)</f>
        <v/>
      </c>
      <c r="H20" s="150">
        <f>ROUND(H18*H19,2)</f>
        <v/>
      </c>
      <c r="I20" s="150">
        <f>ROUND(I18*I19,2)</f>
        <v/>
      </c>
      <c r="J20" s="150">
        <f>ROUND(J18*J19,2)</f>
        <v/>
      </c>
      <c r="K20" s="150">
        <f>ROUND(K18*K19,2)</f>
        <v/>
      </c>
      <c r="L20" s="150">
        <f>ROUND(L18*L19,2)</f>
        <v/>
      </c>
      <c r="M20" s="150">
        <f>ROUND(M18*M19,2)</f>
        <v/>
      </c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134" t="n"/>
      <c r="B21" s="134" t="n"/>
      <c r="C21" s="161" t="n"/>
      <c r="D21" s="161" t="n"/>
      <c r="E21" s="161" t="n"/>
      <c r="F21" s="161" t="n"/>
      <c r="G21" s="161" t="n"/>
      <c r="H21" s="161" t="n"/>
      <c r="I21" s="161" t="n"/>
      <c r="J21" s="161" t="n"/>
      <c r="K21" s="161" t="n"/>
      <c r="L21" s="161" t="n"/>
      <c r="M21" s="161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134" t="n"/>
      <c r="B22" s="134" t="n"/>
      <c r="C22" s="161" t="n"/>
      <c r="D22" s="161" t="n"/>
      <c r="E22" s="161" t="n"/>
      <c r="F22" s="161" t="n"/>
      <c r="G22" s="161" t="n"/>
      <c r="H22" s="161" t="n"/>
      <c r="I22" s="161" t="n"/>
      <c r="J22" s="161" t="n"/>
      <c r="K22" s="161" t="n"/>
      <c r="L22" s="161" t="n"/>
      <c r="M22" s="161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136" t="inlineStr">
        <is>
          <t>主营业务成本小计</t>
        </is>
      </c>
      <c r="B23" s="136" t="n"/>
      <c r="C23" s="150">
        <f>SUMIF($B7:$B22,"成本",C7:C22)</f>
        <v/>
      </c>
      <c r="D23" s="150">
        <f>SUMIF($B7:$B22,"成本",D7:D22)</f>
        <v/>
      </c>
      <c r="E23" s="150">
        <f>SUMIF($B7:$B22,"成本",E7:E22)</f>
        <v/>
      </c>
      <c r="F23" s="150">
        <f>SUMIF($B7:$B22,"成本",F7:F22)</f>
        <v/>
      </c>
      <c r="G23" s="150">
        <f>SUMIF($B7:$B22,"成本",G7:G22)</f>
        <v/>
      </c>
      <c r="H23" s="150">
        <f>SUMIF($B7:$B22,"成本",H7:H22)</f>
        <v/>
      </c>
      <c r="I23" s="150">
        <f>SUMIF($B7:$B22,"成本",I7:I22)</f>
        <v/>
      </c>
      <c r="J23" s="150">
        <f>SUMIF($B7:$B22,"成本",J7:J22)</f>
        <v/>
      </c>
      <c r="K23" s="150">
        <f>SUMIF($B7:$B22,"成本",K7:K22)</f>
        <v/>
      </c>
      <c r="L23" s="150">
        <f>SUMIF($B7:$B22,"成本",L7:L22)</f>
        <v/>
      </c>
      <c r="M23" s="150">
        <f>SUMIF($B7:$B22,"成本",M7:M22)</f>
        <v/>
      </c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122" t="inlineStr">
        <is>
          <t>其他业务成本：</t>
        </is>
      </c>
      <c r="B24" s="7" t="n"/>
      <c r="C24" s="148" t="n"/>
      <c r="D24" s="148" t="n"/>
      <c r="E24" s="148" t="n"/>
      <c r="F24" s="148" t="n"/>
      <c r="G24" s="148" t="n"/>
      <c r="H24" s="148" t="n"/>
      <c r="I24" s="148" t="n"/>
      <c r="J24" s="148" t="n"/>
      <c r="K24" s="148" t="n"/>
      <c r="L24" s="148" t="n"/>
      <c r="M24" s="148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122" t="inlineStr">
        <is>
          <t>其他</t>
        </is>
      </c>
      <c r="B25" s="122" t="inlineStr">
        <is>
          <t>数量</t>
        </is>
      </c>
      <c r="C25" s="156">
        <f>营业收入附表!C17</f>
        <v/>
      </c>
      <c r="D25" s="156">
        <f>营业收入附表!D17</f>
        <v/>
      </c>
      <c r="E25" s="156">
        <f>营业收入附表!E17</f>
        <v/>
      </c>
      <c r="F25" s="156">
        <f>营业收入附表!F17</f>
        <v/>
      </c>
      <c r="G25" s="156">
        <f>营业收入附表!G17</f>
        <v/>
      </c>
      <c r="H25" s="156">
        <f>营业收入附表!H17</f>
        <v/>
      </c>
      <c r="I25" s="156">
        <f>营业收入附表!I17</f>
        <v/>
      </c>
      <c r="J25" s="156">
        <f>营业收入附表!J17</f>
        <v/>
      </c>
      <c r="K25" s="156">
        <f>营业收入附表!K17</f>
        <v/>
      </c>
      <c r="L25" s="156">
        <f>营业收入附表!L17</f>
        <v/>
      </c>
      <c r="M25" s="156">
        <f>营业收入附表!M17</f>
        <v/>
      </c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122" t="n"/>
      <c r="B26" s="122" t="inlineStr">
        <is>
          <t>单价</t>
        </is>
      </c>
      <c r="C26" s="151">
        <f>ROUND(C27/C25,2)</f>
        <v/>
      </c>
      <c r="D26" s="151">
        <f>ROUND(D27/D25,2)</f>
        <v/>
      </c>
      <c r="E26" s="151">
        <f>ROUND(E27/E25,2)</f>
        <v/>
      </c>
      <c r="F26" s="151">
        <f>ROUND(F27/F25,2)</f>
        <v/>
      </c>
      <c r="G26" s="163" t="n"/>
      <c r="H26" s="163" t="n"/>
      <c r="I26" s="163" t="n"/>
      <c r="J26" s="163" t="n"/>
      <c r="K26" s="163" t="n"/>
      <c r="L26" s="163" t="n"/>
      <c r="M26" s="163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136" t="n"/>
      <c r="B27" s="136" t="inlineStr">
        <is>
          <t>成本</t>
        </is>
      </c>
      <c r="C27" s="164" t="n"/>
      <c r="D27" s="164" t="n"/>
      <c r="E27" s="164" t="n"/>
      <c r="F27" s="164" t="n"/>
      <c r="G27" s="150">
        <f>ROUND(G25*G26,2)</f>
        <v/>
      </c>
      <c r="H27" s="150">
        <f>ROUND(H25*H26,2)</f>
        <v/>
      </c>
      <c r="I27" s="150">
        <f>ROUND(I25*I26,2)</f>
        <v/>
      </c>
      <c r="J27" s="150">
        <f>ROUND(J25*J26,2)</f>
        <v/>
      </c>
      <c r="K27" s="150">
        <f>ROUND(K25*K26,2)</f>
        <v/>
      </c>
      <c r="L27" s="150">
        <f>ROUND(L25*L26,2)</f>
        <v/>
      </c>
      <c r="M27" s="150">
        <f>ROUND(M25*M26,2)</f>
        <v/>
      </c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134" t="n"/>
      <c r="B28" s="134" t="n"/>
      <c r="C28" s="161" t="n"/>
      <c r="D28" s="161" t="n"/>
      <c r="E28" s="161" t="n"/>
      <c r="F28" s="161" t="n"/>
      <c r="G28" s="161" t="n"/>
      <c r="H28" s="161" t="n"/>
      <c r="I28" s="161" t="n"/>
      <c r="J28" s="161" t="n"/>
      <c r="K28" s="161" t="n"/>
      <c r="L28" s="161" t="n"/>
      <c r="M28" s="161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134" t="n"/>
      <c r="B29" s="134" t="n"/>
      <c r="C29" s="161" t="n"/>
      <c r="D29" s="161" t="n"/>
      <c r="E29" s="161" t="n"/>
      <c r="F29" s="161" t="n"/>
      <c r="G29" s="161" t="n"/>
      <c r="H29" s="161" t="n"/>
      <c r="I29" s="161" t="n"/>
      <c r="J29" s="161" t="n"/>
      <c r="K29" s="161" t="n"/>
      <c r="L29" s="161" t="n"/>
      <c r="M29" s="161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136" t="inlineStr">
        <is>
          <t>其他业务成本小计</t>
        </is>
      </c>
      <c r="B30" s="136" t="n"/>
      <c r="C30" s="150">
        <f>SUMIF($B25:$B29,"成本",C25:C29)</f>
        <v/>
      </c>
      <c r="D30" s="150">
        <f>SUMIF($B25:$B29,"成本",D25:D29)</f>
        <v/>
      </c>
      <c r="E30" s="150">
        <f>SUMIF($B25:$B29,"成本",E25:E29)</f>
        <v/>
      </c>
      <c r="F30" s="150">
        <f>SUMIF($B25:$B29,"成本",F25:F29)</f>
        <v/>
      </c>
      <c r="G30" s="150">
        <f>SUMIF($B25:$B29,"成本",G25:G29)</f>
        <v/>
      </c>
      <c r="H30" s="150">
        <f>SUMIF($B25:$B29,"成本",H25:H29)</f>
        <v/>
      </c>
      <c r="I30" s="150">
        <f>SUMIF($B25:$B29,"成本",I25:I29)</f>
        <v/>
      </c>
      <c r="J30" s="150">
        <f>SUMIF($B25:$B29,"成本",J25:J29)</f>
        <v/>
      </c>
      <c r="K30" s="150">
        <f>SUMIF($B25:$B29,"成本",K25:K29)</f>
        <v/>
      </c>
      <c r="L30" s="150">
        <f>SUMIF($B25:$B29,"成本",L25:L29)</f>
        <v/>
      </c>
      <c r="M30" s="150">
        <f>SUMIF($B25:$B29,"成本",M25:M29)</f>
        <v/>
      </c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136" t="inlineStr">
        <is>
          <t>营业成本合计</t>
        </is>
      </c>
      <c r="B31" s="136" t="n"/>
      <c r="C31" s="150">
        <f>C23+C30</f>
        <v/>
      </c>
      <c r="D31" s="150">
        <f>D23+D30</f>
        <v/>
      </c>
      <c r="E31" s="150">
        <f>E23+E30</f>
        <v/>
      </c>
      <c r="F31" s="150">
        <f>F23+F30</f>
        <v/>
      </c>
      <c r="G31" s="150">
        <f>G23+G30</f>
        <v/>
      </c>
      <c r="H31" s="150">
        <f>H23+H30</f>
        <v/>
      </c>
      <c r="I31" s="150">
        <f>I23+I30</f>
        <v/>
      </c>
      <c r="J31" s="150">
        <f>J23+J30</f>
        <v/>
      </c>
      <c r="K31" s="150">
        <f>K23+K30</f>
        <v/>
      </c>
      <c r="L31" s="150">
        <f>L23+L30</f>
        <v/>
      </c>
      <c r="M31" s="150">
        <f>M23+M30</f>
        <v/>
      </c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31" t="inlineStr">
        <is>
          <t>【HD】主营业务成本核对</t>
        </is>
      </c>
      <c r="B33" s="152" t="n"/>
      <c r="C33" s="152">
        <f>C23-历利调整后表!D15</f>
        <v/>
      </c>
      <c r="D33" s="152">
        <f>D23-历利调整后表!G15</f>
        <v/>
      </c>
      <c r="E33" s="152">
        <f>E23-历利调整后表!J15</f>
        <v/>
      </c>
      <c r="F33" s="152">
        <f>F23-历利调整后表!M15</f>
        <v/>
      </c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31" t="inlineStr">
        <is>
          <t>【HD】其他业务成本核对</t>
        </is>
      </c>
      <c r="B34" s="152" t="n"/>
      <c r="C34" s="152">
        <f>C30-历利调整后表!D16</f>
        <v/>
      </c>
      <c r="D34" s="152">
        <f>D30-历利调整后表!G16</f>
        <v/>
      </c>
      <c r="E34" s="152">
        <f>E30-历利调整后表!J16</f>
        <v/>
      </c>
      <c r="F34" s="152">
        <f>F30-历利调整后表!M16</f>
        <v/>
      </c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31" t="inlineStr">
        <is>
          <t>【HD】营业成本核对</t>
        </is>
      </c>
      <c r="B35" s="152" t="n"/>
      <c r="C35" s="152">
        <f>C31-历利调整后表!D14</f>
        <v/>
      </c>
      <c r="D35" s="152">
        <f>D31-历利调整后表!G14</f>
        <v/>
      </c>
      <c r="E35" s="152">
        <f>E31-历利调整后表!J14</f>
        <v/>
      </c>
      <c r="F35" s="152">
        <f>F31-历利调整后表!M14</f>
        <v/>
      </c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31" t="inlineStr">
        <is>
          <t>制造费用核对</t>
        </is>
      </c>
      <c r="B36" s="32" t="n"/>
      <c r="C36" s="152">
        <f>SUMIF(B7:B29,"制造费用",C7:C29)-制造费用表!C62</f>
        <v/>
      </c>
      <c r="D36" s="152">
        <f>SUMIF(B7:B29,"制造费用",D7:D29)-制造费用表!D62</f>
        <v/>
      </c>
      <c r="E36" s="152">
        <f>SUMIF(B7:B29,"制造费用",E7:E29)-制造费用表!E62</f>
        <v/>
      </c>
      <c r="F36" s="152">
        <f>SUMIF(B7:B29,"制造费用",F7:F29)-制造费用表!F62</f>
        <v/>
      </c>
      <c r="G36" s="152">
        <f>SUMIF(B7:B29,"制造费用",G7:G29)-制造费用表!G62</f>
        <v/>
      </c>
      <c r="H36" s="152">
        <f>SUMIF(B7:B29,"制造费用",H7:H29)-制造费用表!H62</f>
        <v/>
      </c>
      <c r="I36" s="152">
        <f>SUMIF(B7:B29,"制造费用",I7:I29)-制造费用表!I62</f>
        <v/>
      </c>
      <c r="J36" s="152">
        <f>SUMIF(B7:B29,"制造费用",J7:J29)-制造费用表!J62</f>
        <v/>
      </c>
      <c r="K36" s="152">
        <f>SUMIF(B7:B29,"制造费用",K7:K29)-制造费用表!K62</f>
        <v/>
      </c>
      <c r="L36" s="152">
        <f>SUMIF(B7:B29,"制造费用",L7:L29)-制造费用表!L62</f>
        <v/>
      </c>
      <c r="M36" s="152">
        <f>SUMIF(B7:B29,"制造费用",M7:M29)-制造费用表!M62</f>
        <v/>
      </c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31" t="inlineStr">
        <is>
          <t>人工核对</t>
        </is>
      </c>
      <c r="B37" s="32" t="n"/>
      <c r="C37" s="152">
        <f>SUMIF(B7:B29,"人工",C7:C29)-人工成本表!C27</f>
        <v/>
      </c>
      <c r="D37" s="152">
        <f>SUMIF(B7:B29,"人工",D7:D29)-人工成本表!D27</f>
        <v/>
      </c>
      <c r="E37" s="152">
        <f>SUMIF(B7:B29,"人工",E7:E29)-人工成本表!E27</f>
        <v/>
      </c>
      <c r="F37" s="152">
        <f>SUMIF(B7:B29,"人工",F7:F29)-人工成本表!F27</f>
        <v/>
      </c>
      <c r="G37" s="152">
        <f>SUMIF(B7:B29,"人工",G7:G29)-人工成本表!G27</f>
        <v/>
      </c>
      <c r="H37" s="152">
        <f>SUMIF(B7:B29,"人工",H7:H29)-人工成本表!H27</f>
        <v/>
      </c>
      <c r="I37" s="152">
        <f>SUMIF(B7:B29,"人工",I7:I29)-人工成本表!I27</f>
        <v/>
      </c>
      <c r="J37" s="152">
        <f>SUMIF(B7:B29,"人工",J7:J29)-人工成本表!J27</f>
        <v/>
      </c>
      <c r="K37" s="152">
        <f>SUMIF(B7:B29,"人工",K7:K29)-人工成本表!K27</f>
        <v/>
      </c>
      <c r="L37" s="152">
        <f>SUMIF(B7:B29,"人工",L7:L29)-人工成本表!L27</f>
        <v/>
      </c>
      <c r="M37" s="152">
        <f>SUMIF(B7:B29,"人工",M7:M29)-人工成本表!M27</f>
        <v/>
      </c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31" t="inlineStr">
        <is>
          <t>折旧核对</t>
        </is>
      </c>
      <c r="B38" s="32" t="n"/>
      <c r="C38" s="152">
        <f>SUMIF(B7:B29,"折旧",C7:C29)-折旧摊销、资本性支出表!C7</f>
        <v/>
      </c>
      <c r="D38" s="152">
        <f>SUMIF(B7:B29,"折旧",D7:D29)-折旧摊销、资本性支出表!D7</f>
        <v/>
      </c>
      <c r="E38" s="152">
        <f>SUMIF(B7:B29,"折旧",E7:E29)-折旧摊销、资本性支出表!E7</f>
        <v/>
      </c>
      <c r="F38" s="152">
        <f>SUMIF(B7:B29,"折旧",F7:F29)-折旧摊销、资本性支出表!F7</f>
        <v/>
      </c>
      <c r="G38" s="152">
        <f>SUMIF(B7:B29,"折旧",G7:G29)-折旧摊销、资本性支出表!G7</f>
        <v/>
      </c>
      <c r="H38" s="152">
        <f>SUMIF(B7:B29,"折旧",H7:H29)-折旧摊销、资本性支出表!H7</f>
        <v/>
      </c>
      <c r="I38" s="152">
        <f>SUMIF(B7:B29,"折旧",I7:I29)-折旧摊销、资本性支出表!I7</f>
        <v/>
      </c>
      <c r="J38" s="152">
        <f>SUMIF(B7:B29,"折旧",J7:J29)-折旧摊销、资本性支出表!J7</f>
        <v/>
      </c>
      <c r="K38" s="152">
        <f>SUMIF(B7:B29,"折旧",K7:K29)-折旧摊销、资本性支出表!K7</f>
        <v/>
      </c>
      <c r="L38" s="152">
        <f>SUMIF(B7:B29,"折旧",L7:L29)-折旧摊销、资本性支出表!L7</f>
        <v/>
      </c>
      <c r="M38" s="152">
        <f>SUMIF(B7:B29,"折旧",M7:M29)-折旧摊销、资本性支出表!M7</f>
        <v/>
      </c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31" t="inlineStr">
        <is>
          <t>摊销核对</t>
        </is>
      </c>
      <c r="B39" s="32" t="n"/>
      <c r="C39" s="152">
        <f>SUMIF(B7:B29,"摊销",C7:C29)-折旧摊销、资本性支出表!C8</f>
        <v/>
      </c>
      <c r="D39" s="152">
        <f>SUMIF(B7:B29,"摊销",D7:D29)-折旧摊销、资本性支出表!D8</f>
        <v/>
      </c>
      <c r="E39" s="152">
        <f>SUMIF(B7:B29,"摊销",E7:E29)-折旧摊销、资本性支出表!E8</f>
        <v/>
      </c>
      <c r="F39" s="152">
        <f>SUMIF(B7:B29,"摊销",F7:F29)-折旧摊销、资本性支出表!F8</f>
        <v/>
      </c>
      <c r="G39" s="152">
        <f>SUMIF(B7:B29,"摊销",G7:G29)-折旧摊销、资本性支出表!G8</f>
        <v/>
      </c>
      <c r="H39" s="152">
        <f>SUMIF(B7:B29,"摊销",H7:H29)-折旧摊销、资本性支出表!H8</f>
        <v/>
      </c>
      <c r="I39" s="152">
        <f>SUMIF(B7:B29,"摊销",I7:I29)-折旧摊销、资本性支出表!I8</f>
        <v/>
      </c>
      <c r="J39" s="152">
        <f>SUMIF(B7:B29,"摊销",J7:J29)-折旧摊销、资本性支出表!J8</f>
        <v/>
      </c>
      <c r="K39" s="152">
        <f>SUMIF(B7:B29,"摊销",K7:K29)-折旧摊销、资本性支出表!K8</f>
        <v/>
      </c>
      <c r="L39" s="152">
        <f>SUMIF(B7:B29,"摊销",L7:L29)-折旧摊销、资本性支出表!L8</f>
        <v/>
      </c>
      <c r="M39" s="152">
        <f>SUMIF(B7:B29,"摊销",M7:M29)-折旧摊销、资本性支出表!M8</f>
        <v/>
      </c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0" sort="1" password="F563"/>
  <mergeCells count="6">
    <mergeCell ref="B4:B5"/>
    <mergeCell ref="A1:M1"/>
    <mergeCell ref="C4:F4"/>
    <mergeCell ref="A4:A5"/>
    <mergeCell ref="G4:M4"/>
    <mergeCell ref="A2:M2"/>
  </mergeCells>
  <conditionalFormatting sqref="B33:F35">
    <cfRule type="cellIs" priority="1" operator="notEqual" dxfId="0">
      <formula>0</formula>
    </cfRule>
  </conditionalFormatting>
  <conditionalFormatting sqref="C36:M39">
    <cfRule type="cellIs" priority="4" operator="notEqual" dxfId="0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M232"/>
  <sheetViews>
    <sheetView workbookViewId="0">
      <pane xSplit="1" ySplit="6" topLeftCell="F22" activePane="bottomRight" state="frozen"/>
      <selection pane="topRight" activeCell="A1" sqref="A1"/>
      <selection pane="bottomLeft" activeCell="A1" sqref="A1"/>
      <selection pane="bottomRight" activeCell="G17" sqref="G17:L17"/>
    </sheetView>
  </sheetViews>
  <sheetFormatPr baseColWidth="8" defaultColWidth="9.109375" defaultRowHeight="14.4"/>
  <cols>
    <col width="35" customWidth="1" style="1" min="1" max="1"/>
    <col width="15" customWidth="1" style="1" min="2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人工及工资预测表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5" t="inlineStr">
        <is>
          <t>一、人员数量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21" t="inlineStr">
        <is>
          <t>人员类别</t>
        </is>
      </c>
      <c r="B5" s="121" t="inlineStr">
        <is>
          <t>核算科目</t>
        </is>
      </c>
      <c r="C5" s="121" t="inlineStr">
        <is>
          <t>历史数据</t>
        </is>
      </c>
      <c r="D5" s="154" t="n"/>
      <c r="E5" s="154" t="n"/>
      <c r="F5" s="155" t="n"/>
      <c r="G5" s="124" t="inlineStr">
        <is>
          <t>未来预测</t>
        </is>
      </c>
      <c r="H5" s="154" t="n"/>
      <c r="I5" s="154" t="n"/>
      <c r="J5" s="154" t="n"/>
      <c r="K5" s="154" t="n"/>
      <c r="L5" s="154" t="n"/>
      <c r="M5" s="15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47" t="n"/>
      <c r="B6" s="147" t="n"/>
      <c r="C6" s="121" t="inlineStr">
        <is>
          <t>2022年度</t>
        </is>
      </c>
      <c r="D6" s="121" t="inlineStr">
        <is>
          <t>2023年度</t>
        </is>
      </c>
      <c r="E6" s="121" t="inlineStr">
        <is>
          <t>2024年度</t>
        </is>
      </c>
      <c r="F6" s="121" t="inlineStr">
        <is>
          <t>2025年1-6月</t>
        </is>
      </c>
      <c r="G6" s="124" t="inlineStr">
        <is>
          <t>2025年7-12月</t>
        </is>
      </c>
      <c r="H6" s="124" t="inlineStr">
        <is>
          <t>2026年度</t>
        </is>
      </c>
      <c r="I6" s="124" t="inlineStr">
        <is>
          <t>2027年度</t>
        </is>
      </c>
      <c r="J6" s="124" t="inlineStr">
        <is>
          <t>2028年度</t>
        </is>
      </c>
      <c r="K6" s="124" t="inlineStr">
        <is>
          <t>2029年度</t>
        </is>
      </c>
      <c r="L6" s="124" t="inlineStr">
        <is>
          <t>2030年度</t>
        </is>
      </c>
      <c r="M6" s="124" t="inlineStr">
        <is>
          <t>永续年度</t>
        </is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22" t="inlineStr">
        <is>
          <t>生产人员</t>
        </is>
      </c>
      <c r="B7" s="122" t="inlineStr">
        <is>
          <t>营业成本</t>
        </is>
      </c>
      <c r="C7" s="149" t="n"/>
      <c r="D7" s="149" t="n"/>
      <c r="E7" s="149" t="n"/>
      <c r="F7" s="149" t="n"/>
      <c r="G7" s="149" t="n"/>
      <c r="H7" s="149">
        <f>G7</f>
        <v/>
      </c>
      <c r="I7" s="149">
        <f>H7</f>
        <v/>
      </c>
      <c r="J7" s="149">
        <f>I7</f>
        <v/>
      </c>
      <c r="K7" s="149">
        <f>J7</f>
        <v/>
      </c>
      <c r="L7" s="149">
        <f>K7</f>
        <v/>
      </c>
      <c r="M7" s="149">
        <f>L7</f>
        <v/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22" t="inlineStr">
        <is>
          <t>制造人员</t>
        </is>
      </c>
      <c r="B8" s="122" t="inlineStr">
        <is>
          <t>制造费用</t>
        </is>
      </c>
      <c r="C8" s="149" t="n"/>
      <c r="D8" s="149" t="n"/>
      <c r="E8" s="149" t="n"/>
      <c r="F8" s="149" t="n"/>
      <c r="G8" s="149" t="n"/>
      <c r="H8" s="149" t="n"/>
      <c r="I8" s="149" t="n"/>
      <c r="J8" s="149" t="n"/>
      <c r="K8" s="149" t="n"/>
      <c r="L8" s="149" t="n"/>
      <c r="M8" s="149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22" t="inlineStr">
        <is>
          <t>销售人员</t>
        </is>
      </c>
      <c r="B9" s="122" t="inlineStr">
        <is>
          <t>销售费用</t>
        </is>
      </c>
      <c r="C9" s="149" t="n"/>
      <c r="D9" s="149" t="n"/>
      <c r="E9" s="149" t="n"/>
      <c r="F9" s="149" t="n"/>
      <c r="G9" s="149" t="n"/>
      <c r="H9" s="149" t="n"/>
      <c r="I9" s="149" t="n"/>
      <c r="J9" s="149" t="n"/>
      <c r="K9" s="149" t="n"/>
      <c r="L9" s="149" t="n"/>
      <c r="M9" s="149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122" t="inlineStr">
        <is>
          <t>管理人员及其他人员</t>
        </is>
      </c>
      <c r="B10" s="122" t="inlineStr">
        <is>
          <t>管理费用</t>
        </is>
      </c>
      <c r="C10" s="149" t="n"/>
      <c r="D10" s="149" t="n"/>
      <c r="E10" s="149" t="n"/>
      <c r="F10" s="149" t="n"/>
      <c r="G10" s="149" t="n"/>
      <c r="H10" s="149" t="n"/>
      <c r="I10" s="149" t="n"/>
      <c r="J10" s="149" t="n"/>
      <c r="K10" s="149" t="n"/>
      <c r="L10" s="149" t="n"/>
      <c r="M10" s="149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122" t="inlineStr">
        <is>
          <t>研发人员</t>
        </is>
      </c>
      <c r="B11" s="122" t="inlineStr">
        <is>
          <t>研发费用</t>
        </is>
      </c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136" t="inlineStr">
        <is>
          <t>员工人数合计</t>
        </is>
      </c>
      <c r="B12" s="136" t="n"/>
      <c r="C12" s="150">
        <f>SUM(C7:C11)</f>
        <v/>
      </c>
      <c r="D12" s="150">
        <f>SUM(D7:D11)</f>
        <v/>
      </c>
      <c r="E12" s="150">
        <f>SUM(E7:E11)</f>
        <v/>
      </c>
      <c r="F12" s="150">
        <f>SUM(F7:F11)</f>
        <v/>
      </c>
      <c r="G12" s="150">
        <f>SUM(G7:G11)</f>
        <v/>
      </c>
      <c r="H12" s="150">
        <f>SUM(H7:H11)</f>
        <v/>
      </c>
      <c r="I12" s="150">
        <f>SUM(I7:I11)</f>
        <v/>
      </c>
      <c r="J12" s="150">
        <f>SUM(J7:J11)</f>
        <v/>
      </c>
      <c r="K12" s="150">
        <f>SUM(K7:K11)</f>
        <v/>
      </c>
      <c r="L12" s="150">
        <f>SUM(L7:L11)</f>
        <v/>
      </c>
      <c r="M12" s="150">
        <f>SUM(M7:M11)</f>
        <v/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5" t="inlineStr">
        <is>
          <t>二、平均工资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121" t="inlineStr">
        <is>
          <t>人员类别</t>
        </is>
      </c>
      <c r="B15" s="121" t="inlineStr">
        <is>
          <t>核算科目</t>
        </is>
      </c>
      <c r="C15" s="121" t="inlineStr">
        <is>
          <t>历史数据</t>
        </is>
      </c>
      <c r="D15" s="154" t="n"/>
      <c r="E15" s="154" t="n"/>
      <c r="F15" s="155" t="n"/>
      <c r="G15" s="124" t="inlineStr">
        <is>
          <t>未来预测</t>
        </is>
      </c>
      <c r="H15" s="154" t="n"/>
      <c r="I15" s="154" t="n"/>
      <c r="J15" s="154" t="n"/>
      <c r="K15" s="154" t="n"/>
      <c r="L15" s="154" t="n"/>
      <c r="M15" s="15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147" t="n"/>
      <c r="B16" s="147" t="n"/>
      <c r="C16" s="121" t="inlineStr">
        <is>
          <t>2022年度</t>
        </is>
      </c>
      <c r="D16" s="121" t="inlineStr">
        <is>
          <t>2023年度</t>
        </is>
      </c>
      <c r="E16" s="121" t="inlineStr">
        <is>
          <t>2024年度</t>
        </is>
      </c>
      <c r="F16" s="121" t="inlineStr">
        <is>
          <t>2025年1-6月</t>
        </is>
      </c>
      <c r="G16" s="124" t="inlineStr">
        <is>
          <t>2025年7-12月</t>
        </is>
      </c>
      <c r="H16" s="124" t="inlineStr">
        <is>
          <t>2026年度</t>
        </is>
      </c>
      <c r="I16" s="124" t="inlineStr">
        <is>
          <t>2027年度</t>
        </is>
      </c>
      <c r="J16" s="124" t="inlineStr">
        <is>
          <t>2028年度</t>
        </is>
      </c>
      <c r="K16" s="124" t="inlineStr">
        <is>
          <t>2029年度</t>
        </is>
      </c>
      <c r="L16" s="124" t="inlineStr">
        <is>
          <t>2030年度</t>
        </is>
      </c>
      <c r="M16" s="124" t="inlineStr">
        <is>
          <t>永续年度</t>
        </is>
      </c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122" t="inlineStr">
        <is>
          <t>生产人员</t>
        </is>
      </c>
      <c r="B17" s="122" t="inlineStr">
        <is>
          <t>营业成本</t>
        </is>
      </c>
      <c r="C17" s="151">
        <f>ROUND((C27/C7),2)</f>
        <v/>
      </c>
      <c r="D17" s="151">
        <f>ROUND((D27/D7),2)</f>
        <v/>
      </c>
      <c r="E17" s="151">
        <f>ROUND((E27/E7),2)</f>
        <v/>
      </c>
      <c r="F17" s="151">
        <f>ROUND((F27/F7),2)</f>
        <v/>
      </c>
      <c r="G17" s="149" t="n"/>
      <c r="H17" s="149" t="n"/>
      <c r="I17" s="149" t="n"/>
      <c r="J17" s="149" t="n"/>
      <c r="K17" s="149" t="n"/>
      <c r="L17" s="149" t="n"/>
      <c r="M17" s="149">
        <f>L17</f>
        <v/>
      </c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122" t="inlineStr">
        <is>
          <t>制造人员</t>
        </is>
      </c>
      <c r="B18" s="122" t="inlineStr">
        <is>
          <t>制造费用</t>
        </is>
      </c>
      <c r="C18" s="151">
        <f>ROUND((C28/C8),2)</f>
        <v/>
      </c>
      <c r="D18" s="151">
        <f>ROUND((D28/D8),2)</f>
        <v/>
      </c>
      <c r="E18" s="151">
        <f>ROUND((E28/E8),2)</f>
        <v/>
      </c>
      <c r="F18" s="151">
        <f>ROUND((F28/F8),2)</f>
        <v/>
      </c>
      <c r="G18" s="149" t="n"/>
      <c r="H18" s="149" t="n"/>
      <c r="I18" s="149" t="n"/>
      <c r="J18" s="149" t="n"/>
      <c r="K18" s="149" t="n"/>
      <c r="L18" s="149" t="n"/>
      <c r="M18" s="149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122" t="inlineStr">
        <is>
          <t>销售人员</t>
        </is>
      </c>
      <c r="B19" s="122" t="inlineStr">
        <is>
          <t>销售费用</t>
        </is>
      </c>
      <c r="C19" s="151">
        <f>ROUND((C29/C9),2)</f>
        <v/>
      </c>
      <c r="D19" s="151">
        <f>ROUND((D29/D9),2)</f>
        <v/>
      </c>
      <c r="E19" s="151">
        <f>ROUND((E29/E9),2)</f>
        <v/>
      </c>
      <c r="F19" s="151">
        <f>ROUND((F29/F9),2)</f>
        <v/>
      </c>
      <c r="G19" s="149" t="n"/>
      <c r="H19" s="149" t="n"/>
      <c r="I19" s="149" t="n"/>
      <c r="J19" s="149" t="n"/>
      <c r="K19" s="149" t="n"/>
      <c r="L19" s="149" t="n"/>
      <c r="M19" s="149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122" t="inlineStr">
        <is>
          <t>管理人员及其他人员</t>
        </is>
      </c>
      <c r="B20" s="122" t="inlineStr">
        <is>
          <t>管理费用</t>
        </is>
      </c>
      <c r="C20" s="151">
        <f>ROUND((C30/C10),2)</f>
        <v/>
      </c>
      <c r="D20" s="151">
        <f>ROUND((D30/D10),2)</f>
        <v/>
      </c>
      <c r="E20" s="151">
        <f>ROUND((E30/E10),2)</f>
        <v/>
      </c>
      <c r="F20" s="151">
        <f>ROUND((F30/F10),2)</f>
        <v/>
      </c>
      <c r="G20" s="149" t="n"/>
      <c r="H20" s="149" t="n"/>
      <c r="I20" s="149" t="n"/>
      <c r="J20" s="149" t="n"/>
      <c r="K20" s="149" t="n"/>
      <c r="L20" s="149" t="n"/>
      <c r="M20" s="149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122" t="inlineStr">
        <is>
          <t>研发人员</t>
        </is>
      </c>
      <c r="B21" s="122" t="inlineStr">
        <is>
          <t>研发费用</t>
        </is>
      </c>
      <c r="C21" s="151">
        <f>ROUND((C31/C11),2)</f>
        <v/>
      </c>
      <c r="D21" s="151">
        <f>ROUND((D31/D11),2)</f>
        <v/>
      </c>
      <c r="E21" s="151">
        <f>ROUND((E31/E11),2)</f>
        <v/>
      </c>
      <c r="F21" s="151">
        <f>ROUND((F31/F11),2)</f>
        <v/>
      </c>
      <c r="G21" s="149" t="n"/>
      <c r="H21" s="149" t="n"/>
      <c r="I21" s="149" t="n"/>
      <c r="J21" s="149" t="n"/>
      <c r="K21" s="149" t="n"/>
      <c r="L21" s="149" t="n"/>
      <c r="M21" s="149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136" t="inlineStr">
        <is>
          <t>平均工资</t>
        </is>
      </c>
      <c r="B22" s="136" t="n"/>
      <c r="C22" s="150">
        <f>AVERAGE(C17:C21)</f>
        <v/>
      </c>
      <c r="D22" s="150">
        <f>AVERAGE(D17:D21)</f>
        <v/>
      </c>
      <c r="E22" s="150">
        <f>AVERAGE(E17:E21)</f>
        <v/>
      </c>
      <c r="F22" s="150">
        <f>AVERAGE(F17:F21)</f>
        <v/>
      </c>
      <c r="G22" s="150">
        <f>AVERAGE(G17:G21)</f>
        <v/>
      </c>
      <c r="H22" s="150">
        <f>AVERAGE(H17:H21)</f>
        <v/>
      </c>
      <c r="I22" s="150">
        <f>AVERAGE(I17:I21)</f>
        <v/>
      </c>
      <c r="J22" s="150">
        <f>AVERAGE(J17:J21)</f>
        <v/>
      </c>
      <c r="K22" s="150">
        <f>AVERAGE(K17:K21)</f>
        <v/>
      </c>
      <c r="L22" s="150">
        <f>AVERAGE(L17:L21)</f>
        <v/>
      </c>
      <c r="M22" s="150">
        <f>AVERAGE(M17:M21)</f>
        <v/>
      </c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5" t="inlineStr">
        <is>
          <t>三、工资总额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121" t="inlineStr">
        <is>
          <t>人员类别</t>
        </is>
      </c>
      <c r="B25" s="121" t="inlineStr">
        <is>
          <t>核算科目</t>
        </is>
      </c>
      <c r="C25" s="121" t="inlineStr">
        <is>
          <t>历史数据</t>
        </is>
      </c>
      <c r="D25" s="154" t="n"/>
      <c r="E25" s="154" t="n"/>
      <c r="F25" s="155" t="n"/>
      <c r="G25" s="124" t="inlineStr">
        <is>
          <t>未来预测</t>
        </is>
      </c>
      <c r="H25" s="154" t="n"/>
      <c r="I25" s="154" t="n"/>
      <c r="J25" s="154" t="n"/>
      <c r="K25" s="154" t="n"/>
      <c r="L25" s="154" t="n"/>
      <c r="M25" s="15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147" t="n"/>
      <c r="B26" s="147" t="n"/>
      <c r="C26" s="121" t="inlineStr">
        <is>
          <t>2022年度</t>
        </is>
      </c>
      <c r="D26" s="121" t="inlineStr">
        <is>
          <t>2023年度</t>
        </is>
      </c>
      <c r="E26" s="121" t="inlineStr">
        <is>
          <t>2024年度</t>
        </is>
      </c>
      <c r="F26" s="121" t="inlineStr">
        <is>
          <t>2025年1-6月</t>
        </is>
      </c>
      <c r="G26" s="124" t="inlineStr">
        <is>
          <t>2025年7-12月</t>
        </is>
      </c>
      <c r="H26" s="124" t="inlineStr">
        <is>
          <t>2026年度</t>
        </is>
      </c>
      <c r="I26" s="124" t="inlineStr">
        <is>
          <t>2027年度</t>
        </is>
      </c>
      <c r="J26" s="124" t="inlineStr">
        <is>
          <t>2028年度</t>
        </is>
      </c>
      <c r="K26" s="124" t="inlineStr">
        <is>
          <t>2029年度</t>
        </is>
      </c>
      <c r="L26" s="124" t="inlineStr">
        <is>
          <t>2030年度</t>
        </is>
      </c>
      <c r="M26" s="124" t="inlineStr">
        <is>
          <t>永续年度</t>
        </is>
      </c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122" t="inlineStr">
        <is>
          <t>生产人员</t>
        </is>
      </c>
      <c r="B27" s="122" t="inlineStr">
        <is>
          <t>营业成本</t>
        </is>
      </c>
      <c r="C27" s="149" t="n"/>
      <c r="D27" s="149" t="n"/>
      <c r="E27" s="149" t="n"/>
      <c r="F27" s="149" t="n"/>
      <c r="G27" s="151">
        <f>ROUND(G7*G17,2)</f>
        <v/>
      </c>
      <c r="H27" s="151">
        <f>ROUND(H7*H17,2)</f>
        <v/>
      </c>
      <c r="I27" s="151">
        <f>ROUND(I7*I17,2)</f>
        <v/>
      </c>
      <c r="J27" s="151">
        <f>ROUND(J7*J17,2)</f>
        <v/>
      </c>
      <c r="K27" s="151">
        <f>ROUND(K7*K17,2)</f>
        <v/>
      </c>
      <c r="L27" s="151">
        <f>ROUND(L7*L17,2)</f>
        <v/>
      </c>
      <c r="M27" s="151">
        <f>ROUND(M7*M17,2)</f>
        <v/>
      </c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122" t="inlineStr">
        <is>
          <t>制造人员</t>
        </is>
      </c>
      <c r="B28" s="122" t="inlineStr">
        <is>
          <t>制造费用</t>
        </is>
      </c>
      <c r="C28" s="156">
        <f>制造费用表!C6</f>
        <v/>
      </c>
      <c r="D28" s="156">
        <f>制造费用表!D6</f>
        <v/>
      </c>
      <c r="E28" s="156">
        <f>制造费用表!E6</f>
        <v/>
      </c>
      <c r="F28" s="156">
        <f>制造费用表!F6</f>
        <v/>
      </c>
      <c r="G28" s="151">
        <f>ROUND(G8*G18,2)</f>
        <v/>
      </c>
      <c r="H28" s="151">
        <f>ROUND(H8*H18,2)</f>
        <v/>
      </c>
      <c r="I28" s="151">
        <f>ROUND(I8*I18,2)</f>
        <v/>
      </c>
      <c r="J28" s="151">
        <f>ROUND(J8*J18,2)</f>
        <v/>
      </c>
      <c r="K28" s="151">
        <f>ROUND(K8*K18,2)</f>
        <v/>
      </c>
      <c r="L28" s="151">
        <f>ROUND(L8*L18,2)</f>
        <v/>
      </c>
      <c r="M28" s="151">
        <f>ROUND(M8*M18,2)</f>
        <v/>
      </c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122" t="inlineStr">
        <is>
          <t>销售人员</t>
        </is>
      </c>
      <c r="B29" s="122" t="inlineStr">
        <is>
          <t>销售费用</t>
        </is>
      </c>
      <c r="C29" s="156">
        <f>销售费用表!C6</f>
        <v/>
      </c>
      <c r="D29" s="156">
        <f>销售费用表!D6</f>
        <v/>
      </c>
      <c r="E29" s="156">
        <f>销售费用表!E6</f>
        <v/>
      </c>
      <c r="F29" s="156">
        <f>销售费用表!F6</f>
        <v/>
      </c>
      <c r="G29" s="151">
        <f>ROUND(G9*G19,2)</f>
        <v/>
      </c>
      <c r="H29" s="151">
        <f>ROUND(H9*H19,2)</f>
        <v/>
      </c>
      <c r="I29" s="151">
        <f>ROUND(I9*I19,2)</f>
        <v/>
      </c>
      <c r="J29" s="151">
        <f>ROUND(J9*J19,2)</f>
        <v/>
      </c>
      <c r="K29" s="151">
        <f>ROUND(K9*K19,2)</f>
        <v/>
      </c>
      <c r="L29" s="151">
        <f>ROUND(L9*L19,2)</f>
        <v/>
      </c>
      <c r="M29" s="151">
        <f>ROUND(M9*M19,2)</f>
        <v/>
      </c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122" t="inlineStr">
        <is>
          <t>管理人员及其他人员</t>
        </is>
      </c>
      <c r="B30" s="122" t="inlineStr">
        <is>
          <t>管理费用</t>
        </is>
      </c>
      <c r="C30" s="156">
        <f>管理费用表!C6</f>
        <v/>
      </c>
      <c r="D30" s="156">
        <f>管理费用表!D6</f>
        <v/>
      </c>
      <c r="E30" s="156">
        <f>管理费用表!E6</f>
        <v/>
      </c>
      <c r="F30" s="156">
        <f>管理费用表!F6</f>
        <v/>
      </c>
      <c r="G30" s="151">
        <f>ROUND(G10*G20,2)</f>
        <v/>
      </c>
      <c r="H30" s="151">
        <f>ROUND(H10*H20,2)</f>
        <v/>
      </c>
      <c r="I30" s="151">
        <f>ROUND(I10*I20,2)</f>
        <v/>
      </c>
      <c r="J30" s="151">
        <f>ROUND(J10*J20,2)</f>
        <v/>
      </c>
      <c r="K30" s="151">
        <f>ROUND(K10*K20,2)</f>
        <v/>
      </c>
      <c r="L30" s="151">
        <f>ROUND(L10*L20,2)</f>
        <v/>
      </c>
      <c r="M30" s="151">
        <f>ROUND(M10*M20,2)</f>
        <v/>
      </c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122" t="inlineStr">
        <is>
          <t>研发人员</t>
        </is>
      </c>
      <c r="B31" s="122" t="inlineStr">
        <is>
          <t>研发费用</t>
        </is>
      </c>
      <c r="C31" s="156">
        <f>研发费用表!C6</f>
        <v/>
      </c>
      <c r="D31" s="156">
        <f>研发费用表!D6</f>
        <v/>
      </c>
      <c r="E31" s="156">
        <f>研发费用表!E6</f>
        <v/>
      </c>
      <c r="F31" s="156">
        <f>研发费用表!F6</f>
        <v/>
      </c>
      <c r="G31" s="151">
        <f>ROUND(G11*G21,2)</f>
        <v/>
      </c>
      <c r="H31" s="151">
        <f>ROUND(H11*H21,2)</f>
        <v/>
      </c>
      <c r="I31" s="151">
        <f>ROUND(I11*I21,2)</f>
        <v/>
      </c>
      <c r="J31" s="151">
        <f>ROUND(J11*J21,2)</f>
        <v/>
      </c>
      <c r="K31" s="151">
        <f>ROUND(K11*K21,2)</f>
        <v/>
      </c>
      <c r="L31" s="151">
        <f>ROUND(L11*L21,2)</f>
        <v/>
      </c>
      <c r="M31" s="151">
        <f>ROUND(M11*M21,2)</f>
        <v/>
      </c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136" t="inlineStr">
        <is>
          <t>工资总额合计</t>
        </is>
      </c>
      <c r="B32" s="136" t="n"/>
      <c r="C32" s="150">
        <f>SUM(C27:C31)</f>
        <v/>
      </c>
      <c r="D32" s="150">
        <f>SUM(D27:D31)</f>
        <v/>
      </c>
      <c r="E32" s="150">
        <f>SUM(E27:E31)</f>
        <v/>
      </c>
      <c r="F32" s="150">
        <f>SUM(F27:F31)</f>
        <v/>
      </c>
      <c r="G32" s="150">
        <f>SUM(G27:G31)</f>
        <v/>
      </c>
      <c r="H32" s="150">
        <f>SUM(H27:H31)</f>
        <v/>
      </c>
      <c r="I32" s="150">
        <f>SUM(I27:I31)</f>
        <v/>
      </c>
      <c r="J32" s="150">
        <f>SUM(J27:J31)</f>
        <v/>
      </c>
      <c r="K32" s="150">
        <f>SUM(K27:K31)</f>
        <v/>
      </c>
      <c r="L32" s="150">
        <f>SUM(L27:L31)</f>
        <v/>
      </c>
      <c r="M32" s="150">
        <f>SUM(M27:M31)</f>
        <v/>
      </c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14">
    <mergeCell ref="A5:A6"/>
    <mergeCell ref="A1:M1"/>
    <mergeCell ref="A25:A26"/>
    <mergeCell ref="A15:A16"/>
    <mergeCell ref="G25:M25"/>
    <mergeCell ref="B25:B26"/>
    <mergeCell ref="C15:F15"/>
    <mergeCell ref="C25:F25"/>
    <mergeCell ref="C5:F5"/>
    <mergeCell ref="G15:M15"/>
    <mergeCell ref="A2:M2"/>
    <mergeCell ref="B5:B6"/>
    <mergeCell ref="B15:B16"/>
    <mergeCell ref="G5:M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M267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F11" sqref="F11"/>
    </sheetView>
  </sheetViews>
  <sheetFormatPr baseColWidth="8" defaultColWidth="9.109375" defaultRowHeight="14.4"/>
  <cols>
    <col width="35" customWidth="1" style="1" min="1" max="1"/>
    <col hidden="1" width="15" customWidth="1" style="1" min="2" max="2"/>
    <col width="15" customWidth="1" style="1" min="3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制造费用分析预测表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121" t="inlineStr">
        <is>
          <t>项目</t>
        </is>
      </c>
      <c r="B4" s="121" t="n"/>
      <c r="C4" s="121" t="inlineStr">
        <is>
          <t>历史数据</t>
        </is>
      </c>
      <c r="D4" s="154" t="n"/>
      <c r="E4" s="154" t="n"/>
      <c r="F4" s="155" t="n"/>
      <c r="G4" s="124" t="inlineStr">
        <is>
          <t>未来预测</t>
        </is>
      </c>
      <c r="H4" s="154" t="n"/>
      <c r="I4" s="154" t="n"/>
      <c r="J4" s="154" t="n"/>
      <c r="K4" s="154" t="n"/>
      <c r="L4" s="154" t="n"/>
      <c r="M4" s="15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47" t="n"/>
      <c r="B5" s="121" t="n"/>
      <c r="C5" s="121" t="inlineStr">
        <is>
          <t>2022年度</t>
        </is>
      </c>
      <c r="D5" s="121" t="inlineStr">
        <is>
          <t>2023年度</t>
        </is>
      </c>
      <c r="E5" s="121" t="inlineStr">
        <is>
          <t>2024年度</t>
        </is>
      </c>
      <c r="F5" s="121" t="inlineStr">
        <is>
          <t>2025年1-6月</t>
        </is>
      </c>
      <c r="G5" s="124" t="inlineStr">
        <is>
          <t>2025年7-12月</t>
        </is>
      </c>
      <c r="H5" s="124" t="inlineStr">
        <is>
          <t>2026年度</t>
        </is>
      </c>
      <c r="I5" s="124" t="inlineStr">
        <is>
          <t>2027年度</t>
        </is>
      </c>
      <c r="J5" s="124" t="inlineStr">
        <is>
          <t>2028年度</t>
        </is>
      </c>
      <c r="K5" s="124" t="inlineStr">
        <is>
          <t>2029年度</t>
        </is>
      </c>
      <c r="L5" s="124" t="inlineStr">
        <is>
          <t>2030年度</t>
        </is>
      </c>
      <c r="M5" s="124" t="inlineStr">
        <is>
          <t>永续年度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22" t="inlineStr">
        <is>
          <t>人工</t>
        </is>
      </c>
      <c r="B6" s="135" t="n"/>
      <c r="C6" s="149" t="n"/>
      <c r="D6" s="149" t="n"/>
      <c r="E6" s="149" t="n"/>
      <c r="F6" s="149" t="n"/>
      <c r="G6" s="149" t="n"/>
      <c r="H6" s="149" t="n"/>
      <c r="I6" s="149" t="n"/>
      <c r="J6" s="149" t="n"/>
      <c r="K6" s="149" t="n"/>
      <c r="L6" s="149" t="n"/>
      <c r="M6" s="149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22" t="inlineStr">
        <is>
          <t>材料</t>
        </is>
      </c>
      <c r="B7" s="135" t="n"/>
      <c r="C7" s="149" t="n"/>
      <c r="D7" s="149" t="n"/>
      <c r="E7" s="149" t="n"/>
      <c r="F7" s="149" t="n"/>
      <c r="G7" s="149" t="n"/>
      <c r="H7" s="149" t="n"/>
      <c r="I7" s="149" t="n"/>
      <c r="J7" s="149" t="n"/>
      <c r="K7" s="149" t="n"/>
      <c r="L7" s="149" t="n"/>
      <c r="M7" s="149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22" t="inlineStr">
        <is>
          <t>折旧</t>
        </is>
      </c>
      <c r="B8" s="135" t="n"/>
      <c r="C8" s="149" t="n"/>
      <c r="D8" s="149" t="n"/>
      <c r="E8" s="149" t="n"/>
      <c r="F8" s="149" t="n"/>
      <c r="G8" s="156">
        <f>折旧摊销、资本性支出表!G9</f>
        <v/>
      </c>
      <c r="H8" s="156">
        <f>折旧摊销、资本性支出表!H9</f>
        <v/>
      </c>
      <c r="I8" s="156">
        <f>折旧摊销、资本性支出表!I9</f>
        <v/>
      </c>
      <c r="J8" s="156">
        <f>折旧摊销、资本性支出表!J9</f>
        <v/>
      </c>
      <c r="K8" s="156">
        <f>折旧摊销、资本性支出表!K9</f>
        <v/>
      </c>
      <c r="L8" s="156">
        <f>折旧摊销、资本性支出表!L9</f>
        <v/>
      </c>
      <c r="M8" s="156">
        <f>折旧摊销、资本性支出表!M9</f>
        <v/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22" t="inlineStr">
        <is>
          <t>摊销</t>
        </is>
      </c>
      <c r="B9" s="135" t="n"/>
      <c r="C9" s="149" t="n"/>
      <c r="D9" s="149" t="n"/>
      <c r="E9" s="149" t="n"/>
      <c r="F9" s="149" t="n"/>
      <c r="G9" s="156">
        <f>折旧摊销、资本性支出表!G10</f>
        <v/>
      </c>
      <c r="H9" s="156">
        <f>折旧摊销、资本性支出表!H10</f>
        <v/>
      </c>
      <c r="I9" s="156">
        <f>折旧摊销、资本性支出表!I10</f>
        <v/>
      </c>
      <c r="J9" s="156">
        <f>折旧摊销、资本性支出表!J10</f>
        <v/>
      </c>
      <c r="K9" s="156">
        <f>折旧摊销、资本性支出表!K10</f>
        <v/>
      </c>
      <c r="L9" s="156">
        <f>折旧摊销、资本性支出表!L10</f>
        <v/>
      </c>
      <c r="M9" s="156">
        <f>折旧摊销、资本性支出表!M10</f>
        <v/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122" t="inlineStr">
        <is>
          <t>业务招待费</t>
        </is>
      </c>
      <c r="B10" s="135" t="n"/>
      <c r="C10" s="149" t="n"/>
      <c r="D10" s="149" t="n"/>
      <c r="E10" s="149" t="n"/>
      <c r="F10" s="149" t="n"/>
      <c r="G10" s="149" t="n"/>
      <c r="H10" s="149" t="n"/>
      <c r="I10" s="149" t="n"/>
      <c r="J10" s="149" t="n"/>
      <c r="K10" s="149" t="n"/>
      <c r="L10" s="149" t="n"/>
      <c r="M10" s="149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122" t="inlineStr">
        <is>
          <t>使用权资产折旧</t>
        </is>
      </c>
      <c r="B11" s="135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122" t="inlineStr">
        <is>
          <t>房屋租赁费</t>
        </is>
      </c>
      <c r="B12" s="135" t="n"/>
      <c r="C12" s="149" t="n"/>
      <c r="D12" s="149" t="n"/>
      <c r="E12" s="149" t="n"/>
      <c r="F12" s="149" t="n"/>
      <c r="G12" s="149" t="n"/>
      <c r="H12" s="149" t="n"/>
      <c r="I12" s="149" t="n"/>
      <c r="J12" s="149" t="n"/>
      <c r="K12" s="149" t="n"/>
      <c r="L12" s="149" t="n"/>
      <c r="M12" s="149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122" t="inlineStr">
        <is>
          <t>运输费</t>
        </is>
      </c>
      <c r="B13" s="135" t="n"/>
      <c r="C13" s="149" t="n"/>
      <c r="D13" s="149" t="n"/>
      <c r="E13" s="149" t="n"/>
      <c r="F13" s="149" t="n"/>
      <c r="G13" s="149" t="n"/>
      <c r="H13" s="149" t="n"/>
      <c r="I13" s="149" t="n"/>
      <c r="J13" s="149" t="n"/>
      <c r="K13" s="149" t="n"/>
      <c r="L13" s="149" t="n"/>
      <c r="M13" s="149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135" t="n"/>
      <c r="B14" s="135" t="n"/>
      <c r="C14" s="149" t="n"/>
      <c r="D14" s="149" t="n"/>
      <c r="E14" s="149" t="n"/>
      <c r="F14" s="149" t="n"/>
      <c r="G14" s="149" t="n"/>
      <c r="H14" s="149" t="n"/>
      <c r="I14" s="149" t="n"/>
      <c r="J14" s="149" t="n"/>
      <c r="K14" s="149" t="n"/>
      <c r="L14" s="149" t="n"/>
      <c r="M14" s="149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135" t="n"/>
      <c r="B15" s="135" t="n"/>
      <c r="C15" s="149" t="n"/>
      <c r="D15" s="149" t="n"/>
      <c r="E15" s="149" t="n"/>
      <c r="F15" s="149" t="n"/>
      <c r="G15" s="149" t="n"/>
      <c r="H15" s="149" t="n"/>
      <c r="I15" s="149" t="n"/>
      <c r="J15" s="149" t="n"/>
      <c r="K15" s="149" t="n"/>
      <c r="L15" s="149" t="n"/>
      <c r="M15" s="149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135" t="n"/>
      <c r="B16" s="135" t="n"/>
      <c r="C16" s="149" t="n"/>
      <c r="D16" s="149" t="n"/>
      <c r="E16" s="149" t="n"/>
      <c r="F16" s="149" t="n"/>
      <c r="G16" s="149" t="n"/>
      <c r="H16" s="149" t="n"/>
      <c r="I16" s="149" t="n"/>
      <c r="J16" s="149" t="n"/>
      <c r="K16" s="149" t="n"/>
      <c r="L16" s="149" t="n"/>
      <c r="M16" s="149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135" t="n"/>
      <c r="B17" s="135" t="n"/>
      <c r="C17" s="149" t="n"/>
      <c r="D17" s="149" t="n"/>
      <c r="E17" s="149" t="n"/>
      <c r="F17" s="149" t="n"/>
      <c r="G17" s="149" t="n"/>
      <c r="H17" s="149" t="n"/>
      <c r="I17" s="149" t="n"/>
      <c r="J17" s="149" t="n"/>
      <c r="K17" s="149" t="n"/>
      <c r="L17" s="149" t="n"/>
      <c r="M17" s="149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135" t="n"/>
      <c r="B18" s="135" t="n"/>
      <c r="C18" s="149" t="n"/>
      <c r="D18" s="149" t="n"/>
      <c r="E18" s="149" t="n"/>
      <c r="F18" s="149" t="n"/>
      <c r="G18" s="149" t="n"/>
      <c r="H18" s="149" t="n"/>
      <c r="I18" s="149" t="n"/>
      <c r="J18" s="149" t="n"/>
      <c r="K18" s="149" t="n"/>
      <c r="L18" s="149" t="n"/>
      <c r="M18" s="149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135" t="n"/>
      <c r="B19" s="135" t="n"/>
      <c r="C19" s="149" t="n"/>
      <c r="D19" s="149" t="n"/>
      <c r="E19" s="149" t="n"/>
      <c r="F19" s="149" t="n"/>
      <c r="G19" s="149" t="n"/>
      <c r="H19" s="149" t="n"/>
      <c r="I19" s="149" t="n"/>
      <c r="J19" s="149" t="n"/>
      <c r="K19" s="149" t="n"/>
      <c r="L19" s="149" t="n"/>
      <c r="M19" s="149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135" t="n"/>
      <c r="B20" s="135" t="n"/>
      <c r="C20" s="149" t="n"/>
      <c r="D20" s="149" t="n"/>
      <c r="E20" s="149" t="n"/>
      <c r="F20" s="149" t="n"/>
      <c r="G20" s="149" t="n"/>
      <c r="H20" s="149" t="n"/>
      <c r="I20" s="149" t="n"/>
      <c r="J20" s="149" t="n"/>
      <c r="K20" s="149" t="n"/>
      <c r="L20" s="149" t="n"/>
      <c r="M20" s="149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135" t="n"/>
      <c r="B21" s="135" t="n"/>
      <c r="C21" s="149" t="n"/>
      <c r="D21" s="149" t="n"/>
      <c r="E21" s="149" t="n"/>
      <c r="F21" s="149" t="n"/>
      <c r="G21" s="149" t="n"/>
      <c r="H21" s="149" t="n"/>
      <c r="I21" s="149" t="n"/>
      <c r="J21" s="149" t="n"/>
      <c r="K21" s="149" t="n"/>
      <c r="L21" s="149" t="n"/>
      <c r="M21" s="149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135" t="n"/>
      <c r="B22" s="135" t="n"/>
      <c r="C22" s="149" t="n"/>
      <c r="D22" s="149" t="n"/>
      <c r="E22" s="149" t="n"/>
      <c r="F22" s="149" t="n"/>
      <c r="G22" s="149" t="n"/>
      <c r="H22" s="149" t="n"/>
      <c r="I22" s="149" t="n"/>
      <c r="J22" s="149" t="n"/>
      <c r="K22" s="149" t="n"/>
      <c r="L22" s="149" t="n"/>
      <c r="M22" s="149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135" t="n"/>
      <c r="B23" s="135" t="n"/>
      <c r="C23" s="149" t="n"/>
      <c r="D23" s="149" t="n"/>
      <c r="E23" s="149" t="n"/>
      <c r="F23" s="149" t="n"/>
      <c r="G23" s="149" t="n"/>
      <c r="H23" s="149" t="n"/>
      <c r="I23" s="149" t="n"/>
      <c r="J23" s="149" t="n"/>
      <c r="K23" s="149" t="n"/>
      <c r="L23" s="149" t="n"/>
      <c r="M23" s="149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135" t="n"/>
      <c r="B24" s="135" t="n"/>
      <c r="C24" s="149" t="n"/>
      <c r="D24" s="149" t="n"/>
      <c r="E24" s="149" t="n"/>
      <c r="F24" s="149" t="n"/>
      <c r="G24" s="149" t="n"/>
      <c r="H24" s="149" t="n"/>
      <c r="I24" s="149" t="n"/>
      <c r="J24" s="149" t="n"/>
      <c r="K24" s="149" t="n"/>
      <c r="L24" s="149" t="n"/>
      <c r="M24" s="149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135" t="n"/>
      <c r="B25" s="135" t="n"/>
      <c r="C25" s="149" t="n"/>
      <c r="D25" s="149" t="n"/>
      <c r="E25" s="149" t="n"/>
      <c r="F25" s="149" t="n"/>
      <c r="G25" s="149" t="n"/>
      <c r="H25" s="149" t="n"/>
      <c r="I25" s="149" t="n"/>
      <c r="J25" s="149" t="n"/>
      <c r="K25" s="149" t="n"/>
      <c r="L25" s="149" t="n"/>
      <c r="M25" s="149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135" t="n"/>
      <c r="B26" s="135" t="n"/>
      <c r="C26" s="149" t="n"/>
      <c r="D26" s="149" t="n"/>
      <c r="E26" s="149" t="n"/>
      <c r="F26" s="149" t="n"/>
      <c r="G26" s="149" t="n"/>
      <c r="H26" s="149" t="n"/>
      <c r="I26" s="149" t="n"/>
      <c r="J26" s="149" t="n"/>
      <c r="K26" s="149" t="n"/>
      <c r="L26" s="149" t="n"/>
      <c r="M26" s="149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135" t="n"/>
      <c r="B27" s="135" t="n"/>
      <c r="C27" s="149" t="n"/>
      <c r="D27" s="149" t="n"/>
      <c r="E27" s="149" t="n"/>
      <c r="F27" s="149" t="n"/>
      <c r="G27" s="149" t="n"/>
      <c r="H27" s="149" t="n"/>
      <c r="I27" s="149" t="n"/>
      <c r="J27" s="149" t="n"/>
      <c r="K27" s="149" t="n"/>
      <c r="L27" s="149" t="n"/>
      <c r="M27" s="149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135" t="n"/>
      <c r="B28" s="135" t="n"/>
      <c r="C28" s="149" t="n"/>
      <c r="D28" s="149" t="n"/>
      <c r="E28" s="149" t="n"/>
      <c r="F28" s="149" t="n"/>
      <c r="G28" s="149" t="n"/>
      <c r="H28" s="149" t="n"/>
      <c r="I28" s="149" t="n"/>
      <c r="J28" s="149" t="n"/>
      <c r="K28" s="149" t="n"/>
      <c r="L28" s="149" t="n"/>
      <c r="M28" s="149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135" t="n"/>
      <c r="B29" s="135" t="n"/>
      <c r="C29" s="149" t="n"/>
      <c r="D29" s="149" t="n"/>
      <c r="E29" s="149" t="n"/>
      <c r="F29" s="149" t="n"/>
      <c r="G29" s="149" t="n"/>
      <c r="H29" s="149" t="n"/>
      <c r="I29" s="149" t="n"/>
      <c r="J29" s="149" t="n"/>
      <c r="K29" s="149" t="n"/>
      <c r="L29" s="149" t="n"/>
      <c r="M29" s="149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135" t="n"/>
      <c r="B30" s="135" t="n"/>
      <c r="C30" s="149" t="n"/>
      <c r="D30" s="149" t="n"/>
      <c r="E30" s="149" t="n"/>
      <c r="F30" s="149" t="n"/>
      <c r="G30" s="149" t="n"/>
      <c r="H30" s="149" t="n"/>
      <c r="I30" s="149" t="n"/>
      <c r="J30" s="149" t="n"/>
      <c r="K30" s="149" t="n"/>
      <c r="L30" s="149" t="n"/>
      <c r="M30" s="149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135" t="n"/>
      <c r="B31" s="135" t="n"/>
      <c r="C31" s="149" t="n"/>
      <c r="D31" s="149" t="n"/>
      <c r="E31" s="149" t="n"/>
      <c r="F31" s="149" t="n"/>
      <c r="G31" s="149" t="n"/>
      <c r="H31" s="149" t="n"/>
      <c r="I31" s="149" t="n"/>
      <c r="J31" s="149" t="n"/>
      <c r="K31" s="149" t="n"/>
      <c r="L31" s="149" t="n"/>
      <c r="M31" s="149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135" t="n"/>
      <c r="B32" s="135" t="n"/>
      <c r="C32" s="149" t="n"/>
      <c r="D32" s="149" t="n"/>
      <c r="E32" s="149" t="n"/>
      <c r="F32" s="149" t="n"/>
      <c r="G32" s="149" t="n"/>
      <c r="H32" s="149" t="n"/>
      <c r="I32" s="149" t="n"/>
      <c r="J32" s="149" t="n"/>
      <c r="K32" s="149" t="n"/>
      <c r="L32" s="149" t="n"/>
      <c r="M32" s="149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135" t="n"/>
      <c r="B33" s="135" t="n"/>
      <c r="C33" s="149" t="n"/>
      <c r="D33" s="149" t="n"/>
      <c r="E33" s="149" t="n"/>
      <c r="F33" s="149" t="n"/>
      <c r="G33" s="149" t="n"/>
      <c r="H33" s="149" t="n"/>
      <c r="I33" s="149" t="n"/>
      <c r="J33" s="149" t="n"/>
      <c r="K33" s="149" t="n"/>
      <c r="L33" s="149" t="n"/>
      <c r="M33" s="149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135" t="n"/>
      <c r="B34" s="135" t="n"/>
      <c r="C34" s="149" t="n"/>
      <c r="D34" s="149" t="n"/>
      <c r="E34" s="149" t="n"/>
      <c r="F34" s="149" t="n"/>
      <c r="G34" s="149" t="n"/>
      <c r="H34" s="149" t="n"/>
      <c r="I34" s="149" t="n"/>
      <c r="J34" s="149" t="n"/>
      <c r="K34" s="149" t="n"/>
      <c r="L34" s="149" t="n"/>
      <c r="M34" s="149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135" t="n"/>
      <c r="B35" s="135" t="n"/>
      <c r="C35" s="149" t="n"/>
      <c r="D35" s="149" t="n"/>
      <c r="E35" s="149" t="n"/>
      <c r="F35" s="149" t="n"/>
      <c r="G35" s="149" t="n"/>
      <c r="H35" s="149" t="n"/>
      <c r="I35" s="149" t="n"/>
      <c r="J35" s="149" t="n"/>
      <c r="K35" s="149" t="n"/>
      <c r="L35" s="149" t="n"/>
      <c r="M35" s="149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135" t="n"/>
      <c r="B36" s="135" t="n"/>
      <c r="C36" s="149" t="n"/>
      <c r="D36" s="149" t="n"/>
      <c r="E36" s="149" t="n"/>
      <c r="F36" s="149" t="n"/>
      <c r="G36" s="149" t="n"/>
      <c r="H36" s="149" t="n"/>
      <c r="I36" s="149" t="n"/>
      <c r="J36" s="149" t="n"/>
      <c r="K36" s="149" t="n"/>
      <c r="L36" s="149" t="n"/>
      <c r="M36" s="149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135" t="n"/>
      <c r="B37" s="135" t="n"/>
      <c r="C37" s="149" t="n"/>
      <c r="D37" s="149" t="n"/>
      <c r="E37" s="149" t="n"/>
      <c r="F37" s="149" t="n"/>
      <c r="G37" s="149" t="n"/>
      <c r="H37" s="149" t="n"/>
      <c r="I37" s="149" t="n"/>
      <c r="J37" s="149" t="n"/>
      <c r="K37" s="149" t="n"/>
      <c r="L37" s="149" t="n"/>
      <c r="M37" s="149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135" t="n"/>
      <c r="B38" s="135" t="n"/>
      <c r="C38" s="149" t="n"/>
      <c r="D38" s="149" t="n"/>
      <c r="E38" s="149" t="n"/>
      <c r="F38" s="149" t="n"/>
      <c r="G38" s="149" t="n"/>
      <c r="H38" s="149" t="n"/>
      <c r="I38" s="149" t="n"/>
      <c r="J38" s="149" t="n"/>
      <c r="K38" s="149" t="n"/>
      <c r="L38" s="149" t="n"/>
      <c r="M38" s="149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135" t="n"/>
      <c r="B39" s="135" t="n"/>
      <c r="C39" s="149" t="n"/>
      <c r="D39" s="149" t="n"/>
      <c r="E39" s="149" t="n"/>
      <c r="F39" s="149" t="n"/>
      <c r="G39" s="149" t="n"/>
      <c r="H39" s="149" t="n"/>
      <c r="I39" s="149" t="n"/>
      <c r="J39" s="149" t="n"/>
      <c r="K39" s="149" t="n"/>
      <c r="L39" s="149" t="n"/>
      <c r="M39" s="149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135" t="n"/>
      <c r="B40" s="135" t="n"/>
      <c r="C40" s="149" t="n"/>
      <c r="D40" s="149" t="n"/>
      <c r="E40" s="149" t="n"/>
      <c r="F40" s="149" t="n"/>
      <c r="G40" s="149" t="n"/>
      <c r="H40" s="149" t="n"/>
      <c r="I40" s="149" t="n"/>
      <c r="J40" s="149" t="n"/>
      <c r="K40" s="149" t="n"/>
      <c r="L40" s="149" t="n"/>
      <c r="M40" s="149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135" t="n"/>
      <c r="B41" s="135" t="n"/>
      <c r="C41" s="149" t="n"/>
      <c r="D41" s="149" t="n"/>
      <c r="E41" s="149" t="n"/>
      <c r="F41" s="149" t="n"/>
      <c r="G41" s="149" t="n"/>
      <c r="H41" s="149" t="n"/>
      <c r="I41" s="149" t="n"/>
      <c r="J41" s="149" t="n"/>
      <c r="K41" s="149" t="n"/>
      <c r="L41" s="149" t="n"/>
      <c r="M41" s="149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 hidden="1">
      <c r="A42" s="135" t="n"/>
      <c r="B42" s="135" t="n"/>
      <c r="C42" s="149" t="n"/>
      <c r="D42" s="149" t="n"/>
      <c r="E42" s="149" t="n"/>
      <c r="F42" s="149" t="n"/>
      <c r="G42" s="149" t="n"/>
      <c r="H42" s="149" t="n"/>
      <c r="I42" s="149" t="n"/>
      <c r="J42" s="149" t="n"/>
      <c r="K42" s="149" t="n"/>
      <c r="L42" s="149" t="n"/>
      <c r="M42" s="149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 hidden="1">
      <c r="A43" s="135" t="n"/>
      <c r="B43" s="135" t="n"/>
      <c r="C43" s="149" t="n"/>
      <c r="D43" s="149" t="n"/>
      <c r="E43" s="149" t="n"/>
      <c r="F43" s="149" t="n"/>
      <c r="G43" s="149" t="n"/>
      <c r="H43" s="149" t="n"/>
      <c r="I43" s="149" t="n"/>
      <c r="J43" s="149" t="n"/>
      <c r="K43" s="149" t="n"/>
      <c r="L43" s="149" t="n"/>
      <c r="M43" s="149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 hidden="1">
      <c r="A44" s="135" t="n"/>
      <c r="B44" s="135" t="n"/>
      <c r="C44" s="149" t="n"/>
      <c r="D44" s="149" t="n"/>
      <c r="E44" s="149" t="n"/>
      <c r="F44" s="149" t="n"/>
      <c r="G44" s="149" t="n"/>
      <c r="H44" s="149" t="n"/>
      <c r="I44" s="149" t="n"/>
      <c r="J44" s="149" t="n"/>
      <c r="K44" s="149" t="n"/>
      <c r="L44" s="149" t="n"/>
      <c r="M44" s="149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 hidden="1">
      <c r="A45" s="135" t="n"/>
      <c r="B45" s="135" t="n"/>
      <c r="C45" s="149" t="n"/>
      <c r="D45" s="149" t="n"/>
      <c r="E45" s="149" t="n"/>
      <c r="F45" s="149" t="n"/>
      <c r="G45" s="149" t="n"/>
      <c r="H45" s="149" t="n"/>
      <c r="I45" s="149" t="n"/>
      <c r="J45" s="149" t="n"/>
      <c r="K45" s="149" t="n"/>
      <c r="L45" s="149" t="n"/>
      <c r="M45" s="149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 hidden="1">
      <c r="A46" s="135" t="n"/>
      <c r="B46" s="135" t="n"/>
      <c r="C46" s="149" t="n"/>
      <c r="D46" s="149" t="n"/>
      <c r="E46" s="149" t="n"/>
      <c r="F46" s="149" t="n"/>
      <c r="G46" s="149" t="n"/>
      <c r="H46" s="149" t="n"/>
      <c r="I46" s="149" t="n"/>
      <c r="J46" s="149" t="n"/>
      <c r="K46" s="149" t="n"/>
      <c r="L46" s="149" t="n"/>
      <c r="M46" s="149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 hidden="1">
      <c r="A47" s="135" t="n"/>
      <c r="B47" s="135" t="n"/>
      <c r="C47" s="149" t="n"/>
      <c r="D47" s="149" t="n"/>
      <c r="E47" s="149" t="n"/>
      <c r="F47" s="149" t="n"/>
      <c r="G47" s="149" t="n"/>
      <c r="H47" s="149" t="n"/>
      <c r="I47" s="149" t="n"/>
      <c r="J47" s="149" t="n"/>
      <c r="K47" s="149" t="n"/>
      <c r="L47" s="149" t="n"/>
      <c r="M47" s="149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 hidden="1">
      <c r="A48" s="135" t="n"/>
      <c r="B48" s="135" t="n"/>
      <c r="C48" s="149" t="n"/>
      <c r="D48" s="149" t="n"/>
      <c r="E48" s="149" t="n"/>
      <c r="F48" s="149" t="n"/>
      <c r="G48" s="149" t="n"/>
      <c r="H48" s="149" t="n"/>
      <c r="I48" s="149" t="n"/>
      <c r="J48" s="149" t="n"/>
      <c r="K48" s="149" t="n"/>
      <c r="L48" s="149" t="n"/>
      <c r="M48" s="149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 hidden="1">
      <c r="A49" s="135" t="n"/>
      <c r="B49" s="135" t="n"/>
      <c r="C49" s="149" t="n"/>
      <c r="D49" s="149" t="n"/>
      <c r="E49" s="149" t="n"/>
      <c r="F49" s="149" t="n"/>
      <c r="G49" s="149" t="n"/>
      <c r="H49" s="149" t="n"/>
      <c r="I49" s="149" t="n"/>
      <c r="J49" s="149" t="n"/>
      <c r="K49" s="149" t="n"/>
      <c r="L49" s="149" t="n"/>
      <c r="M49" s="149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 hidden="1">
      <c r="A50" s="135" t="n"/>
      <c r="B50" s="135" t="n"/>
      <c r="C50" s="149" t="n"/>
      <c r="D50" s="149" t="n"/>
      <c r="E50" s="149" t="n"/>
      <c r="F50" s="149" t="n"/>
      <c r="G50" s="149" t="n"/>
      <c r="H50" s="149" t="n"/>
      <c r="I50" s="149" t="n"/>
      <c r="J50" s="149" t="n"/>
      <c r="K50" s="149" t="n"/>
      <c r="L50" s="149" t="n"/>
      <c r="M50" s="149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 hidden="1">
      <c r="A51" s="135" t="n"/>
      <c r="B51" s="135" t="n"/>
      <c r="C51" s="149" t="n"/>
      <c r="D51" s="149" t="n"/>
      <c r="E51" s="149" t="n"/>
      <c r="F51" s="149" t="n"/>
      <c r="G51" s="149" t="n"/>
      <c r="H51" s="149" t="n"/>
      <c r="I51" s="149" t="n"/>
      <c r="J51" s="149" t="n"/>
      <c r="K51" s="149" t="n"/>
      <c r="L51" s="149" t="n"/>
      <c r="M51" s="149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 hidden="1">
      <c r="A52" s="135" t="n"/>
      <c r="B52" s="135" t="n"/>
      <c r="C52" s="149" t="n"/>
      <c r="D52" s="149" t="n"/>
      <c r="E52" s="149" t="n"/>
      <c r="F52" s="149" t="n"/>
      <c r="G52" s="149" t="n"/>
      <c r="H52" s="149" t="n"/>
      <c r="I52" s="149" t="n"/>
      <c r="J52" s="149" t="n"/>
      <c r="K52" s="149" t="n"/>
      <c r="L52" s="149" t="n"/>
      <c r="M52" s="149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 hidden="1">
      <c r="A53" s="135" t="n"/>
      <c r="B53" s="135" t="n"/>
      <c r="C53" s="149" t="n"/>
      <c r="D53" s="149" t="n"/>
      <c r="E53" s="149" t="n"/>
      <c r="F53" s="149" t="n"/>
      <c r="G53" s="149" t="n"/>
      <c r="H53" s="149" t="n"/>
      <c r="I53" s="149" t="n"/>
      <c r="J53" s="149" t="n"/>
      <c r="K53" s="149" t="n"/>
      <c r="L53" s="149" t="n"/>
      <c r="M53" s="149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 hidden="1">
      <c r="A54" s="135" t="n"/>
      <c r="B54" s="135" t="n"/>
      <c r="C54" s="149" t="n"/>
      <c r="D54" s="149" t="n"/>
      <c r="E54" s="149" t="n"/>
      <c r="F54" s="149" t="n"/>
      <c r="G54" s="149" t="n"/>
      <c r="H54" s="149" t="n"/>
      <c r="I54" s="149" t="n"/>
      <c r="J54" s="149" t="n"/>
      <c r="K54" s="149" t="n"/>
      <c r="L54" s="149" t="n"/>
      <c r="M54" s="149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 hidden="1">
      <c r="A55" s="135" t="n"/>
      <c r="B55" s="135" t="n"/>
      <c r="C55" s="149" t="n"/>
      <c r="D55" s="149" t="n"/>
      <c r="E55" s="149" t="n"/>
      <c r="F55" s="149" t="n"/>
      <c r="G55" s="149" t="n"/>
      <c r="H55" s="149" t="n"/>
      <c r="I55" s="149" t="n"/>
      <c r="J55" s="149" t="n"/>
      <c r="K55" s="149" t="n"/>
      <c r="L55" s="149" t="n"/>
      <c r="M55" s="149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 hidden="1">
      <c r="A56" s="135" t="n"/>
      <c r="B56" s="135" t="n"/>
      <c r="C56" s="149" t="n"/>
      <c r="D56" s="149" t="n"/>
      <c r="E56" s="149" t="n"/>
      <c r="F56" s="149" t="n"/>
      <c r="G56" s="149" t="n"/>
      <c r="H56" s="149" t="n"/>
      <c r="I56" s="149" t="n"/>
      <c r="J56" s="149" t="n"/>
      <c r="K56" s="149" t="n"/>
      <c r="L56" s="149" t="n"/>
      <c r="M56" s="149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 hidden="1">
      <c r="A57" s="135" t="n"/>
      <c r="B57" s="135" t="n"/>
      <c r="C57" s="149" t="n"/>
      <c r="D57" s="149" t="n"/>
      <c r="E57" s="149" t="n"/>
      <c r="F57" s="149" t="n"/>
      <c r="G57" s="149" t="n"/>
      <c r="H57" s="149" t="n"/>
      <c r="I57" s="149" t="n"/>
      <c r="J57" s="149" t="n"/>
      <c r="K57" s="149" t="n"/>
      <c r="L57" s="149" t="n"/>
      <c r="M57" s="149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 hidden="1">
      <c r="A58" s="135" t="n"/>
      <c r="B58" s="135" t="n"/>
      <c r="C58" s="149" t="n"/>
      <c r="D58" s="149" t="n"/>
      <c r="E58" s="149" t="n"/>
      <c r="F58" s="149" t="n"/>
      <c r="G58" s="149" t="n"/>
      <c r="H58" s="149" t="n"/>
      <c r="I58" s="149" t="n"/>
      <c r="J58" s="149" t="n"/>
      <c r="K58" s="149" t="n"/>
      <c r="L58" s="149" t="n"/>
      <c r="M58" s="149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 hidden="1">
      <c r="A59" s="135" t="n"/>
      <c r="B59" s="135" t="n"/>
      <c r="C59" s="149" t="n"/>
      <c r="D59" s="149" t="n"/>
      <c r="E59" s="149" t="n"/>
      <c r="F59" s="149" t="n"/>
      <c r="G59" s="149" t="n"/>
      <c r="H59" s="149" t="n"/>
      <c r="I59" s="149" t="n"/>
      <c r="J59" s="149" t="n"/>
      <c r="K59" s="149" t="n"/>
      <c r="L59" s="149" t="n"/>
      <c r="M59" s="149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 hidden="1">
      <c r="A60" s="135" t="n"/>
      <c r="B60" s="135" t="n"/>
      <c r="C60" s="149" t="n"/>
      <c r="D60" s="149" t="n"/>
      <c r="E60" s="149" t="n"/>
      <c r="F60" s="149" t="n"/>
      <c r="G60" s="149" t="n"/>
      <c r="H60" s="149" t="n"/>
      <c r="I60" s="149" t="n"/>
      <c r="J60" s="149" t="n"/>
      <c r="K60" s="149" t="n"/>
      <c r="L60" s="149" t="n"/>
      <c r="M60" s="149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 hidden="1">
      <c r="A61" s="135" t="n"/>
      <c r="B61" s="135" t="n"/>
      <c r="C61" s="149" t="n"/>
      <c r="D61" s="149" t="n"/>
      <c r="E61" s="149" t="n"/>
      <c r="F61" s="149" t="n"/>
      <c r="G61" s="149" t="n"/>
      <c r="H61" s="149" t="n"/>
      <c r="I61" s="149" t="n"/>
      <c r="J61" s="149" t="n"/>
      <c r="K61" s="149" t="n"/>
      <c r="L61" s="149" t="n"/>
      <c r="M61" s="149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136" t="inlineStr">
        <is>
          <t>合计</t>
        </is>
      </c>
      <c r="B62" s="137" t="n"/>
      <c r="C62" s="150">
        <f>SUM(C6:C61)</f>
        <v/>
      </c>
      <c r="D62" s="150">
        <f>SUM(D6:D61)</f>
        <v/>
      </c>
      <c r="E62" s="150">
        <f>SUM(E6:E61)</f>
        <v/>
      </c>
      <c r="F62" s="150">
        <f>SUM(F6:F61)</f>
        <v/>
      </c>
      <c r="G62" s="150">
        <f>SUM(G6:G61)</f>
        <v/>
      </c>
      <c r="H62" s="150">
        <f>SUM(H6:H61)</f>
        <v/>
      </c>
      <c r="I62" s="150">
        <f>SUM(I6:I61)</f>
        <v/>
      </c>
      <c r="J62" s="150">
        <f>SUM(J6:J61)</f>
        <v/>
      </c>
      <c r="K62" s="150">
        <f>SUM(K6:K61)</f>
        <v/>
      </c>
      <c r="L62" s="150">
        <f>SUM(L6:L61)</f>
        <v/>
      </c>
      <c r="M62" s="150">
        <f>SUM(M6:M61)</f>
        <v/>
      </c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31" t="inlineStr">
        <is>
          <t>增长率（%）</t>
        </is>
      </c>
      <c r="B64" s="32" t="n"/>
      <c r="C64" s="32" t="n"/>
      <c r="D64" s="33">
        <f>ROUND((D62-C62)/C62,4)</f>
        <v/>
      </c>
      <c r="E64" s="33">
        <f>ROUND((E62-D62)/D62,4)</f>
        <v/>
      </c>
      <c r="F64" s="33">
        <f>ROUND((F62/6*12-E62)/E62,4)</f>
        <v/>
      </c>
      <c r="G64" s="33">
        <f>ROUND((G62+F62-E62)/E62,4)</f>
        <v/>
      </c>
      <c r="H64" s="33">
        <f>ROUND((H62-(G62+F62))/(G62+F62),4)</f>
        <v/>
      </c>
      <c r="I64" s="33">
        <f>ROUND((I62-H62)/H62,4)</f>
        <v/>
      </c>
      <c r="J64" s="33">
        <f>ROUND((J62-I62)/I62,4)</f>
        <v/>
      </c>
      <c r="K64" s="33">
        <f>ROUND((K62-J62)/J62,4)</f>
        <v/>
      </c>
      <c r="L64" s="33">
        <f>ROUND((L62-K62)/K62,4)</f>
        <v/>
      </c>
      <c r="M64" s="33">
        <f>ROUND((M62-L62)/L62,4)</f>
        <v/>
      </c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31" t="inlineStr">
        <is>
          <t>占主营业务收入的比例（%）</t>
        </is>
      </c>
      <c r="B65" s="32" t="n"/>
      <c r="C65" s="33">
        <f>ROUND(C62/营业收入表!C11,4)</f>
        <v/>
      </c>
      <c r="D65" s="33">
        <f>ROUND(D62/营业收入表!D11,4)</f>
        <v/>
      </c>
      <c r="E65" s="33">
        <f>ROUND(E62/营业收入表!E11,4)</f>
        <v/>
      </c>
      <c r="F65" s="33">
        <f>ROUND(F62/营业收入表!F11,4)</f>
        <v/>
      </c>
      <c r="G65" s="33">
        <f>ROUND(G62/营业收入表!G11,4)</f>
        <v/>
      </c>
      <c r="H65" s="33">
        <f>ROUND(H62/营业收入表!H11,4)</f>
        <v/>
      </c>
      <c r="I65" s="33">
        <f>ROUND(I62/营业收入表!I11,4)</f>
        <v/>
      </c>
      <c r="J65" s="33">
        <f>ROUND(J62/营业收入表!J11,4)</f>
        <v/>
      </c>
      <c r="K65" s="33">
        <f>ROUND(K62/营业收入表!K11,4)</f>
        <v/>
      </c>
      <c r="L65" s="33">
        <f>ROUND(L62/营业收入表!L11,4)</f>
        <v/>
      </c>
      <c r="M65" s="33">
        <f>ROUND(M62/营业收入表!M11,4)</f>
        <v/>
      </c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31" t="inlineStr">
        <is>
          <t>占营业收入比例（%）</t>
        </is>
      </c>
      <c r="B66" s="32" t="n"/>
      <c r="C66" s="33">
        <f>ROUND(C62/营业收入表!C17,4)</f>
        <v/>
      </c>
      <c r="D66" s="33">
        <f>ROUND(D62/营业收入表!D17,4)</f>
        <v/>
      </c>
      <c r="E66" s="33">
        <f>ROUND(E62/营业收入表!E17,4)</f>
        <v/>
      </c>
      <c r="F66" s="33">
        <f>ROUND(F62/营业收入表!F17,4)</f>
        <v/>
      </c>
      <c r="G66" s="33">
        <f>ROUND(G62/营业收入表!G17,4)</f>
        <v/>
      </c>
      <c r="H66" s="33">
        <f>ROUND(H62/营业收入表!H17,4)</f>
        <v/>
      </c>
      <c r="I66" s="33">
        <f>ROUND(I62/营业收入表!I17,4)</f>
        <v/>
      </c>
      <c r="J66" s="33">
        <f>ROUND(J62/营业收入表!J17,4)</f>
        <v/>
      </c>
      <c r="K66" s="33">
        <f>ROUND(K62/营业收入表!K17,4)</f>
        <v/>
      </c>
      <c r="L66" s="33">
        <f>ROUND(L62/营业收入表!L17,4)</f>
        <v/>
      </c>
      <c r="M66" s="33">
        <f>ROUND(M62/营业收入表!M17,4)</f>
        <v/>
      </c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31" t="inlineStr">
        <is>
          <t>人工核对</t>
        </is>
      </c>
      <c r="B67" s="32" t="n"/>
      <c r="C67" s="152">
        <f>C6-人工成本表!C28</f>
        <v/>
      </c>
      <c r="D67" s="152">
        <f>D6-人工成本表!D28</f>
        <v/>
      </c>
      <c r="E67" s="152">
        <f>E6-人工成本表!E28</f>
        <v/>
      </c>
      <c r="F67" s="152">
        <f>F6-人工成本表!F28</f>
        <v/>
      </c>
      <c r="G67" s="152">
        <f>G6-人工成本表!G28</f>
        <v/>
      </c>
      <c r="H67" s="152">
        <f>H6-人工成本表!H28</f>
        <v/>
      </c>
      <c r="I67" s="152">
        <f>I6-人工成本表!I28</f>
        <v/>
      </c>
      <c r="J67" s="152">
        <f>J6-人工成本表!J28</f>
        <v/>
      </c>
      <c r="K67" s="152">
        <f>K6-人工成本表!K28</f>
        <v/>
      </c>
      <c r="L67" s="152">
        <f>L6-人工成本表!L28</f>
        <v/>
      </c>
      <c r="M67" s="152">
        <f>M6-人工成本表!M28</f>
        <v/>
      </c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5">
    <mergeCell ref="A1:M1"/>
    <mergeCell ref="C4:F4"/>
    <mergeCell ref="A4:A5"/>
    <mergeCell ref="G4:M4"/>
    <mergeCell ref="A2:M2"/>
  </mergeCells>
  <conditionalFormatting sqref="C67:M67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M231"/>
  <sheetViews>
    <sheetView workbookViewId="0">
      <pane xSplit="2" ySplit="5" topLeftCell="H15" activePane="bottomRight" state="frozen"/>
      <selection pane="topRight" activeCell="A1" sqref="A1"/>
      <selection pane="bottomLeft" activeCell="A1" sqref="A1"/>
      <selection pane="bottomRight" activeCell="G6" sqref="G6"/>
    </sheetView>
  </sheetViews>
  <sheetFormatPr baseColWidth="8" defaultColWidth="9.109375" defaultRowHeight="14.4"/>
  <cols>
    <col width="35" customWidth="1" style="1" min="1" max="1"/>
    <col width="15" customWidth="1" style="1" min="2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税金及附加分析预测表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121" t="inlineStr">
        <is>
          <t>税种</t>
        </is>
      </c>
      <c r="B4" s="121" t="inlineStr">
        <is>
          <t>税率（%）</t>
        </is>
      </c>
      <c r="C4" s="121" t="inlineStr">
        <is>
          <t>历史数据</t>
        </is>
      </c>
      <c r="D4" s="154" t="n"/>
      <c r="E4" s="154" t="n"/>
      <c r="F4" s="155" t="n"/>
      <c r="G4" s="124" t="inlineStr">
        <is>
          <t>未来预测</t>
        </is>
      </c>
      <c r="H4" s="154" t="n"/>
      <c r="I4" s="154" t="n"/>
      <c r="J4" s="154" t="n"/>
      <c r="K4" s="154" t="n"/>
      <c r="L4" s="154" t="n"/>
      <c r="M4" s="15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47" t="n"/>
      <c r="B5" s="147" t="n"/>
      <c r="C5" s="121" t="inlineStr">
        <is>
          <t>2022年度</t>
        </is>
      </c>
      <c r="D5" s="121" t="inlineStr">
        <is>
          <t>2023年度</t>
        </is>
      </c>
      <c r="E5" s="121" t="inlineStr">
        <is>
          <t>2024年度</t>
        </is>
      </c>
      <c r="F5" s="121" t="inlineStr">
        <is>
          <t>2025年1-6月</t>
        </is>
      </c>
      <c r="G5" s="124" t="inlineStr">
        <is>
          <t>2025年7-12月</t>
        </is>
      </c>
      <c r="H5" s="124" t="inlineStr">
        <is>
          <t>2026年度</t>
        </is>
      </c>
      <c r="I5" s="124" t="inlineStr">
        <is>
          <t>2027年度</t>
        </is>
      </c>
      <c r="J5" s="124" t="inlineStr">
        <is>
          <t>2028年度</t>
        </is>
      </c>
      <c r="K5" s="124" t="inlineStr">
        <is>
          <t>2029年度</t>
        </is>
      </c>
      <c r="L5" s="124" t="inlineStr">
        <is>
          <t>2030年度</t>
        </is>
      </c>
      <c r="M5" s="124" t="inlineStr">
        <is>
          <t>永续年度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22" t="inlineStr">
        <is>
          <t>城建税</t>
        </is>
      </c>
      <c r="B6" s="12" t="n"/>
      <c r="C6" s="149" t="n"/>
      <c r="D6" s="149" t="n"/>
      <c r="E6" s="149" t="n"/>
      <c r="F6" s="149" t="n"/>
      <c r="G6" s="156">
        <f>IF(增值税表!G162&gt;0,ROUND(增值税表!G162*税金及附加表!B6,2),0)</f>
        <v/>
      </c>
      <c r="H6" s="156">
        <f>IF(增值税表!H162&gt;0,ROUND(增值税表!H162*税金及附加表!B6,2),0)</f>
        <v/>
      </c>
      <c r="I6" s="156">
        <f>IF(增值税表!I162&gt;0,ROUND(增值税表!I162*税金及附加表!B6,2),0)</f>
        <v/>
      </c>
      <c r="J6" s="156">
        <f>IF(增值税表!J162&gt;0,ROUND(增值税表!J162*税金及附加表!B6,2),0)</f>
        <v/>
      </c>
      <c r="K6" s="156">
        <f>IF(增值税表!K162&gt;0,ROUND(增值税表!K162*税金及附加表!B6,2),0)</f>
        <v/>
      </c>
      <c r="L6" s="156">
        <f>IF(增值税表!L162&gt;0,ROUND(增值税表!L162*税金及附加表!B6,2),0)</f>
        <v/>
      </c>
      <c r="M6" s="156">
        <f>IF(增值税表!M162&gt;0,ROUND(增值税表!M162*税金及附加表!B6,2),0)</f>
        <v/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22" t="inlineStr">
        <is>
          <t>教育费附加</t>
        </is>
      </c>
      <c r="B7" s="12" t="n"/>
      <c r="C7" s="149" t="n"/>
      <c r="D7" s="149" t="n"/>
      <c r="E7" s="149" t="n"/>
      <c r="F7" s="149" t="n"/>
      <c r="G7" s="156">
        <f>IF(增值税表!G162&gt;0,ROUND(增值税表!G162*税金及附加表!B7,2),0)</f>
        <v/>
      </c>
      <c r="H7" s="156">
        <f>IF(增值税表!H162&gt;0,ROUND(增值税表!H162*税金及附加表!B7,2),0)</f>
        <v/>
      </c>
      <c r="I7" s="156">
        <f>IF(增值税表!I162&gt;0,ROUND(增值税表!I162*税金及附加表!B7,2),0)</f>
        <v/>
      </c>
      <c r="J7" s="156">
        <f>IF(增值税表!J162&gt;0,ROUND(增值税表!J162*税金及附加表!B7,2),0)</f>
        <v/>
      </c>
      <c r="K7" s="156">
        <f>IF(增值税表!K162&gt;0,ROUND(增值税表!K162*税金及附加表!B7,2),0)</f>
        <v/>
      </c>
      <c r="L7" s="156">
        <f>IF(增值税表!L162&gt;0,ROUND(增值税表!L162*税金及附加表!B7,2),0)</f>
        <v/>
      </c>
      <c r="M7" s="156">
        <f>IF(增值税表!M162&gt;0,ROUND(增值税表!M162*税金及附加表!B7,2),0)</f>
        <v/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22" t="inlineStr">
        <is>
          <t>地方教育费附加</t>
        </is>
      </c>
      <c r="B8" s="12" t="n"/>
      <c r="C8" s="149" t="n"/>
      <c r="D8" s="149" t="n"/>
      <c r="E8" s="149" t="n"/>
      <c r="F8" s="149" t="n"/>
      <c r="G8" s="156">
        <f>IF(增值税表!G162&gt;0,ROUND(增值税表!G162*税金及附加表!B8,2),0)</f>
        <v/>
      </c>
      <c r="H8" s="156">
        <f>IF(增值税表!H162&gt;0,ROUND(增值税表!H162*税金及附加表!B8,2),0)</f>
        <v/>
      </c>
      <c r="I8" s="156">
        <f>IF(增值税表!I162&gt;0,ROUND(增值税表!I162*税金及附加表!B8,2),0)</f>
        <v/>
      </c>
      <c r="J8" s="156">
        <f>IF(增值税表!J162&gt;0,ROUND(增值税表!J162*税金及附加表!B8,2),0)</f>
        <v/>
      </c>
      <c r="K8" s="156">
        <f>IF(增值税表!K162&gt;0,ROUND(增值税表!K162*税金及附加表!B8,2),0)</f>
        <v/>
      </c>
      <c r="L8" s="156">
        <f>IF(增值税表!L162&gt;0,ROUND(增值税表!L162*税金及附加表!B8,2),0)</f>
        <v/>
      </c>
      <c r="M8" s="156">
        <f>IF(增值税表!M162&gt;0,ROUND(增值税表!M162*税金及附加表!B8,2),0)</f>
        <v/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35" t="inlineStr">
        <is>
          <t>印花税</t>
        </is>
      </c>
      <c r="B9" s="12" t="n"/>
      <c r="C9" s="149" t="n"/>
      <c r="D9" s="149" t="n"/>
      <c r="E9" s="149" t="n"/>
      <c r="F9" s="149" t="n"/>
      <c r="G9" s="149" t="n"/>
      <c r="H9" s="149" t="n"/>
      <c r="I9" s="149" t="n"/>
      <c r="J9" s="149" t="n"/>
      <c r="K9" s="149" t="n"/>
      <c r="L9" s="149" t="n"/>
      <c r="M9" s="149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135" t="inlineStr">
        <is>
          <t>房产税</t>
        </is>
      </c>
      <c r="B10" s="12" t="n"/>
      <c r="C10" s="149" t="n"/>
      <c r="D10" s="149" t="n"/>
      <c r="E10" s="149" t="n"/>
      <c r="F10" s="149" t="n"/>
      <c r="G10" s="149" t="n"/>
      <c r="H10" s="149" t="n"/>
      <c r="I10" s="149" t="n"/>
      <c r="J10" s="149" t="n"/>
      <c r="K10" s="149" t="n"/>
      <c r="L10" s="149" t="n"/>
      <c r="M10" s="149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135" t="inlineStr">
        <is>
          <t>土地使用税</t>
        </is>
      </c>
      <c r="B11" s="12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135" t="inlineStr">
        <is>
          <t>车船使用税</t>
        </is>
      </c>
      <c r="B12" s="12" t="n"/>
      <c r="C12" s="149" t="n"/>
      <c r="D12" s="149" t="n"/>
      <c r="E12" s="149" t="n"/>
      <c r="F12" s="149" t="n"/>
      <c r="G12" s="149" t="n"/>
      <c r="H12" s="149" t="n"/>
      <c r="I12" s="149" t="n"/>
      <c r="J12" s="149" t="n"/>
      <c r="K12" s="149" t="n"/>
      <c r="L12" s="149" t="n"/>
      <c r="M12" s="149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135" t="inlineStr">
        <is>
          <t>环保税</t>
        </is>
      </c>
      <c r="B13" s="12" t="n"/>
      <c r="C13" s="149" t="n"/>
      <c r="D13" s="149" t="n"/>
      <c r="E13" s="149" t="n"/>
      <c r="F13" s="149" t="n"/>
      <c r="G13" s="149" t="n"/>
      <c r="H13" s="149" t="n"/>
      <c r="I13" s="149" t="n"/>
      <c r="J13" s="149" t="n"/>
      <c r="K13" s="149" t="n"/>
      <c r="L13" s="149" t="n"/>
      <c r="M13" s="149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135" t="inlineStr">
        <is>
          <t>消费税</t>
        </is>
      </c>
      <c r="B14" s="12" t="n"/>
      <c r="C14" s="149" t="n"/>
      <c r="D14" s="149" t="n"/>
      <c r="E14" s="149" t="n"/>
      <c r="F14" s="149" t="n"/>
      <c r="G14" s="149" t="n"/>
      <c r="H14" s="149" t="n"/>
      <c r="I14" s="149" t="n"/>
      <c r="J14" s="149" t="n"/>
      <c r="K14" s="149" t="n"/>
      <c r="L14" s="149" t="n"/>
      <c r="M14" s="149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135" t="n"/>
      <c r="B15" s="12" t="n"/>
      <c r="C15" s="149" t="n"/>
      <c r="D15" s="149" t="n"/>
      <c r="E15" s="149" t="n"/>
      <c r="F15" s="149" t="n"/>
      <c r="G15" s="149" t="n"/>
      <c r="H15" s="149" t="n"/>
      <c r="I15" s="149" t="n"/>
      <c r="J15" s="149" t="n"/>
      <c r="K15" s="149" t="n"/>
      <c r="L15" s="149" t="n"/>
      <c r="M15" s="149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135" t="n"/>
      <c r="B16" s="12" t="n"/>
      <c r="C16" s="149" t="n"/>
      <c r="D16" s="149" t="n"/>
      <c r="E16" s="149" t="n"/>
      <c r="F16" s="149" t="n"/>
      <c r="G16" s="149" t="n"/>
      <c r="H16" s="149" t="n"/>
      <c r="I16" s="149" t="n"/>
      <c r="J16" s="149" t="n"/>
      <c r="K16" s="149" t="n"/>
      <c r="L16" s="149" t="n"/>
      <c r="M16" s="149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135" t="n"/>
      <c r="B17" s="12" t="n"/>
      <c r="C17" s="149" t="n"/>
      <c r="D17" s="149" t="n"/>
      <c r="E17" s="149" t="n"/>
      <c r="F17" s="149" t="n"/>
      <c r="G17" s="149" t="n"/>
      <c r="H17" s="149" t="n"/>
      <c r="I17" s="149" t="n"/>
      <c r="J17" s="149" t="n"/>
      <c r="K17" s="149" t="n"/>
      <c r="L17" s="149" t="n"/>
      <c r="M17" s="149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135" t="n"/>
      <c r="B18" s="12" t="n"/>
      <c r="C18" s="149" t="n"/>
      <c r="D18" s="149" t="n"/>
      <c r="E18" s="149" t="n"/>
      <c r="F18" s="149" t="n"/>
      <c r="G18" s="149" t="n"/>
      <c r="H18" s="149" t="n"/>
      <c r="I18" s="149" t="n"/>
      <c r="J18" s="149" t="n"/>
      <c r="K18" s="149" t="n"/>
      <c r="L18" s="149" t="n"/>
      <c r="M18" s="149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135" t="n"/>
      <c r="B19" s="12" t="n"/>
      <c r="C19" s="149" t="n"/>
      <c r="D19" s="149" t="n"/>
      <c r="E19" s="149" t="n"/>
      <c r="F19" s="149" t="n"/>
      <c r="G19" s="149" t="n"/>
      <c r="H19" s="149" t="n"/>
      <c r="I19" s="149" t="n"/>
      <c r="J19" s="149" t="n"/>
      <c r="K19" s="149" t="n"/>
      <c r="L19" s="149" t="n"/>
      <c r="M19" s="149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135" t="n"/>
      <c r="B20" s="12" t="n"/>
      <c r="C20" s="149" t="n"/>
      <c r="D20" s="149" t="n"/>
      <c r="E20" s="149" t="n"/>
      <c r="F20" s="149" t="n"/>
      <c r="G20" s="149" t="n"/>
      <c r="H20" s="149" t="n"/>
      <c r="I20" s="149" t="n"/>
      <c r="J20" s="149" t="n"/>
      <c r="K20" s="149" t="n"/>
      <c r="L20" s="149" t="n"/>
      <c r="M20" s="149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135" t="n"/>
      <c r="B21" s="12" t="n"/>
      <c r="C21" s="149" t="n"/>
      <c r="D21" s="149" t="n"/>
      <c r="E21" s="149" t="n"/>
      <c r="F21" s="149" t="n"/>
      <c r="G21" s="149" t="n"/>
      <c r="H21" s="149" t="n"/>
      <c r="I21" s="149" t="n"/>
      <c r="J21" s="149" t="n"/>
      <c r="K21" s="149" t="n"/>
      <c r="L21" s="149" t="n"/>
      <c r="M21" s="149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135" t="n"/>
      <c r="B22" s="12" t="n"/>
      <c r="C22" s="149" t="n"/>
      <c r="D22" s="149" t="n"/>
      <c r="E22" s="149" t="n"/>
      <c r="F22" s="149" t="n"/>
      <c r="G22" s="149" t="n"/>
      <c r="H22" s="149" t="n"/>
      <c r="I22" s="149" t="n"/>
      <c r="J22" s="149" t="n"/>
      <c r="K22" s="149" t="n"/>
      <c r="L22" s="149" t="n"/>
      <c r="M22" s="149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135" t="n"/>
      <c r="B23" s="12" t="n"/>
      <c r="C23" s="149" t="n"/>
      <c r="D23" s="149" t="n"/>
      <c r="E23" s="149" t="n"/>
      <c r="F23" s="149" t="n"/>
      <c r="G23" s="149" t="n"/>
      <c r="H23" s="149" t="n"/>
      <c r="I23" s="149" t="n"/>
      <c r="J23" s="149" t="n"/>
      <c r="K23" s="149" t="n"/>
      <c r="L23" s="149" t="n"/>
      <c r="M23" s="149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135" t="n"/>
      <c r="B24" s="12" t="n"/>
      <c r="C24" s="149" t="n"/>
      <c r="D24" s="149" t="n"/>
      <c r="E24" s="149" t="n"/>
      <c r="F24" s="149" t="n"/>
      <c r="G24" s="149" t="n"/>
      <c r="H24" s="149" t="n"/>
      <c r="I24" s="149" t="n"/>
      <c r="J24" s="149" t="n"/>
      <c r="K24" s="149" t="n"/>
      <c r="L24" s="149" t="n"/>
      <c r="M24" s="149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135" t="n"/>
      <c r="B25" s="12" t="n"/>
      <c r="C25" s="149" t="n"/>
      <c r="D25" s="149" t="n"/>
      <c r="E25" s="149" t="n"/>
      <c r="F25" s="149" t="n"/>
      <c r="G25" s="149" t="n"/>
      <c r="H25" s="149" t="n"/>
      <c r="I25" s="149" t="n"/>
      <c r="J25" s="149" t="n"/>
      <c r="K25" s="149" t="n"/>
      <c r="L25" s="149" t="n"/>
      <c r="M25" s="149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135" t="n"/>
      <c r="B26" s="12" t="n"/>
      <c r="C26" s="149" t="n"/>
      <c r="D26" s="149" t="n"/>
      <c r="E26" s="149" t="n"/>
      <c r="F26" s="149" t="n"/>
      <c r="G26" s="149" t="n"/>
      <c r="H26" s="149" t="n"/>
      <c r="I26" s="149" t="n"/>
      <c r="J26" s="149" t="n"/>
      <c r="K26" s="149" t="n"/>
      <c r="L26" s="149" t="n"/>
      <c r="M26" s="149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136" t="inlineStr">
        <is>
          <t>合计</t>
        </is>
      </c>
      <c r="B27" s="50" t="n"/>
      <c r="C27" s="150">
        <f>SUM(C6:C26)</f>
        <v/>
      </c>
      <c r="D27" s="150">
        <f>SUM(D6:D26)</f>
        <v/>
      </c>
      <c r="E27" s="150">
        <f>SUM(E6:E26)</f>
        <v/>
      </c>
      <c r="F27" s="150">
        <f>SUM(F6:F26)</f>
        <v/>
      </c>
      <c r="G27" s="150">
        <f>SUM(G6:G26)</f>
        <v/>
      </c>
      <c r="H27" s="150">
        <f>SUM(H6:H26)</f>
        <v/>
      </c>
      <c r="I27" s="150">
        <f>SUM(I6:I26)</f>
        <v/>
      </c>
      <c r="J27" s="150">
        <f>SUM(J6:J26)</f>
        <v/>
      </c>
      <c r="K27" s="150">
        <f>SUM(K6:K26)</f>
        <v/>
      </c>
      <c r="L27" s="150">
        <f>SUM(L6:L26)</f>
        <v/>
      </c>
      <c r="M27" s="150">
        <f>SUM(M6:M26)</f>
        <v/>
      </c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31" t="inlineStr">
        <is>
          <t>【HD】核对</t>
        </is>
      </c>
      <c r="B29" s="152" t="n"/>
      <c r="C29" s="152">
        <f>C27-历利调整后表!D24</f>
        <v/>
      </c>
      <c r="D29" s="152">
        <f>D27-历利调整后表!G24</f>
        <v/>
      </c>
      <c r="E29" s="152">
        <f>E27-历利调整后表!J24</f>
        <v/>
      </c>
      <c r="F29" s="152">
        <f>F27-历利调整后表!M24</f>
        <v/>
      </c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31" t="inlineStr">
        <is>
          <t>占主营业务收入的比例（%）</t>
        </is>
      </c>
      <c r="B30" s="32" t="n"/>
      <c r="C30" s="33">
        <f>ROUND(C27/营业收入表!C11,4)</f>
        <v/>
      </c>
      <c r="D30" s="33">
        <f>ROUND(D27/营业收入表!D11,4)</f>
        <v/>
      </c>
      <c r="E30" s="33">
        <f>ROUND(E27/营业收入表!E11,4)</f>
        <v/>
      </c>
      <c r="F30" s="33">
        <f>ROUND(F27/营业收入表!F11,4)</f>
        <v/>
      </c>
      <c r="G30" s="33">
        <f>ROUND(G27/营业收入表!G11,4)</f>
        <v/>
      </c>
      <c r="H30" s="33">
        <f>ROUND(H27/营业收入表!H11,4)</f>
        <v/>
      </c>
      <c r="I30" s="33">
        <f>ROUND(I27/营业收入表!I11,4)</f>
        <v/>
      </c>
      <c r="J30" s="33">
        <f>ROUND(J27/营业收入表!J11,4)</f>
        <v/>
      </c>
      <c r="K30" s="33">
        <f>ROUND(K27/营业收入表!K11,4)</f>
        <v/>
      </c>
      <c r="L30" s="33">
        <f>ROUND(L27/营业收入表!L11,4)</f>
        <v/>
      </c>
      <c r="M30" s="33">
        <f>ROUND(M27/营业收入表!M11,4)</f>
        <v/>
      </c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31" t="inlineStr">
        <is>
          <t>占营业收入比例（%）</t>
        </is>
      </c>
      <c r="B31" s="32" t="n"/>
      <c r="C31" s="33">
        <f>ROUND(C27/营业收入表!C17,4)</f>
        <v/>
      </c>
      <c r="D31" s="33">
        <f>ROUND(D27/营业收入表!D17,4)</f>
        <v/>
      </c>
      <c r="E31" s="33">
        <f>ROUND(E27/营业收入表!E17,4)</f>
        <v/>
      </c>
      <c r="F31" s="33">
        <f>ROUND(F27/营业收入表!F17,4)</f>
        <v/>
      </c>
      <c r="G31" s="33">
        <f>ROUND(G27/营业收入表!G17,4)</f>
        <v/>
      </c>
      <c r="H31" s="33">
        <f>ROUND(H27/营业收入表!H17,4)</f>
        <v/>
      </c>
      <c r="I31" s="33">
        <f>ROUND(I27/营业收入表!I17,4)</f>
        <v/>
      </c>
      <c r="J31" s="33">
        <f>ROUND(J27/营业收入表!J17,4)</f>
        <v/>
      </c>
      <c r="K31" s="33">
        <f>ROUND(K27/营业收入表!K17,4)</f>
        <v/>
      </c>
      <c r="L31" s="33">
        <f>ROUND(L27/营业收入表!L17,4)</f>
        <v/>
      </c>
      <c r="M31" s="33">
        <f>ROUND(M27/营业收入表!M17,4)</f>
        <v/>
      </c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6">
    <mergeCell ref="B4:B5"/>
    <mergeCell ref="A1:M1"/>
    <mergeCell ref="C4:F4"/>
    <mergeCell ref="A4:A5"/>
    <mergeCell ref="G4:M4"/>
    <mergeCell ref="A2:M2"/>
  </mergeCells>
  <conditionalFormatting sqref="B29:F29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M367"/>
  <sheetViews>
    <sheetView workbookViewId="0">
      <pane xSplit="2" ySplit="5" topLeftCell="G148" activePane="bottomRight" state="frozen"/>
      <selection pane="topRight" activeCell="A1" sqref="A1"/>
      <selection pane="bottomLeft" activeCell="A1" sqref="A1"/>
      <selection pane="bottomRight" activeCell="M45" sqref="M45"/>
    </sheetView>
  </sheetViews>
  <sheetFormatPr baseColWidth="8" defaultColWidth="9.109375" defaultRowHeight="14.4"/>
  <cols>
    <col width="35" customWidth="1" style="1" min="1" max="1"/>
    <col width="15" customWidth="1" style="1" min="2" max="2"/>
    <col hidden="1" width="15" customWidth="1" style="1" min="3" max="6"/>
    <col width="15" customWidth="1" style="1" min="7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增值税预测表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121" t="inlineStr">
        <is>
          <t>类别</t>
        </is>
      </c>
      <c r="B4" s="121" t="inlineStr">
        <is>
          <t>税率</t>
        </is>
      </c>
      <c r="C4" s="121" t="inlineStr">
        <is>
          <t>历史数据</t>
        </is>
      </c>
      <c r="D4" s="154" t="n"/>
      <c r="E4" s="154" t="n"/>
      <c r="F4" s="155" t="n"/>
      <c r="G4" s="124" t="inlineStr">
        <is>
          <t>未来预测</t>
        </is>
      </c>
      <c r="H4" s="154" t="n"/>
      <c r="I4" s="154" t="n"/>
      <c r="J4" s="154" t="n"/>
      <c r="K4" s="154" t="n"/>
      <c r="L4" s="154" t="n"/>
      <c r="M4" s="15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47" t="n"/>
      <c r="B5" s="147" t="n"/>
      <c r="C5" s="121" t="inlineStr">
        <is>
          <t>2022年度</t>
        </is>
      </c>
      <c r="D5" s="121" t="inlineStr">
        <is>
          <t>2023年度</t>
        </is>
      </c>
      <c r="E5" s="121" t="inlineStr">
        <is>
          <t>2024年度</t>
        </is>
      </c>
      <c r="F5" s="121" t="inlineStr">
        <is>
          <t>2025年1-6月</t>
        </is>
      </c>
      <c r="G5" s="124" t="inlineStr">
        <is>
          <t>2025年7-12月</t>
        </is>
      </c>
      <c r="H5" s="124" t="inlineStr">
        <is>
          <t>2026年度</t>
        </is>
      </c>
      <c r="I5" s="124" t="inlineStr">
        <is>
          <t>2027年度</t>
        </is>
      </c>
      <c r="J5" s="124" t="inlineStr">
        <is>
          <t>2028年度</t>
        </is>
      </c>
      <c r="K5" s="124" t="inlineStr">
        <is>
          <t>2029年度</t>
        </is>
      </c>
      <c r="L5" s="124" t="inlineStr">
        <is>
          <t>2030年度</t>
        </is>
      </c>
      <c r="M5" s="124" t="inlineStr">
        <is>
          <t>永续年度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36" t="inlineStr">
        <is>
          <t>主营业务收入：</t>
        </is>
      </c>
      <c r="B6" s="46" t="n"/>
      <c r="C6" s="148" t="n"/>
      <c r="D6" s="148" t="n"/>
      <c r="E6" s="148" t="n"/>
      <c r="F6" s="148" t="n"/>
      <c r="G6" s="148" t="n"/>
      <c r="H6" s="148" t="n"/>
      <c r="I6" s="148" t="n"/>
      <c r="J6" s="148" t="n"/>
      <c r="K6" s="148" t="n"/>
      <c r="L6" s="148" t="n"/>
      <c r="M6" s="148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22" t="inlineStr">
        <is>
          <t>金额</t>
        </is>
      </c>
      <c r="B7" s="47" t="n"/>
      <c r="C7" s="149" t="n"/>
      <c r="D7" s="149" t="n"/>
      <c r="E7" s="149" t="n"/>
      <c r="F7" s="149" t="n"/>
      <c r="G7" s="149" t="n"/>
      <c r="H7" s="149" t="n"/>
      <c r="I7" s="149" t="n"/>
      <c r="J7" s="149" t="n"/>
      <c r="K7" s="149" t="n"/>
      <c r="L7" s="149" t="n"/>
      <c r="M7" s="149">
        <f>L7</f>
        <v/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22" t="inlineStr">
        <is>
          <t>销项税</t>
        </is>
      </c>
      <c r="B8" s="47" t="inlineStr">
        <is>
          <t>13.00%</t>
        </is>
      </c>
      <c r="C8" s="151">
        <f>ROUND($B8*C7,2)</f>
        <v/>
      </c>
      <c r="D8" s="151">
        <f>ROUND($B8*D7,2)</f>
        <v/>
      </c>
      <c r="E8" s="151">
        <f>ROUND($B8*E7,2)</f>
        <v/>
      </c>
      <c r="F8" s="151">
        <f>ROUND($B8*F7,2)</f>
        <v/>
      </c>
      <c r="G8" s="151">
        <f>ROUND($B8*G7,2)</f>
        <v/>
      </c>
      <c r="H8" s="151">
        <f>ROUND($B8*H7,2)</f>
        <v/>
      </c>
      <c r="I8" s="151">
        <f>ROUND($B8*I7,2)</f>
        <v/>
      </c>
      <c r="J8" s="151">
        <f>ROUND($B8*J7,2)</f>
        <v/>
      </c>
      <c r="K8" s="151">
        <f>ROUND($B8*K7,2)</f>
        <v/>
      </c>
      <c r="L8" s="151">
        <f>ROUND($B8*L7,2)</f>
        <v/>
      </c>
      <c r="M8" s="151">
        <f>ROUND($B8*M7,2)</f>
        <v/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22" t="inlineStr">
        <is>
          <t>金额</t>
        </is>
      </c>
      <c r="B9" s="47" t="n"/>
      <c r="C9" s="149" t="n"/>
      <c r="D9" s="149" t="n"/>
      <c r="E9" s="149" t="n"/>
      <c r="F9" s="149" t="n"/>
      <c r="G9" s="149" t="n"/>
      <c r="H9" s="149" t="n"/>
      <c r="I9" s="149" t="n"/>
      <c r="J9" s="149" t="n"/>
      <c r="K9" s="149" t="n"/>
      <c r="L9" s="149" t="n"/>
      <c r="M9" s="149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122" t="inlineStr">
        <is>
          <t>销项税</t>
        </is>
      </c>
      <c r="B10" s="47" t="inlineStr">
        <is>
          <t>9.00%</t>
        </is>
      </c>
      <c r="C10" s="151">
        <f>ROUND($B10*C9,2)</f>
        <v/>
      </c>
      <c r="D10" s="151">
        <f>ROUND($B10*D9,2)</f>
        <v/>
      </c>
      <c r="E10" s="151">
        <f>ROUND($B10*E9,2)</f>
        <v/>
      </c>
      <c r="F10" s="151">
        <f>ROUND($B10*F9,2)</f>
        <v/>
      </c>
      <c r="G10" s="151">
        <f>ROUND($B10*G9,2)</f>
        <v/>
      </c>
      <c r="H10" s="151">
        <f>ROUND($B10*H9,2)</f>
        <v/>
      </c>
      <c r="I10" s="151">
        <f>ROUND($B10*I9,2)</f>
        <v/>
      </c>
      <c r="J10" s="151">
        <f>ROUND($B10*J9,2)</f>
        <v/>
      </c>
      <c r="K10" s="151">
        <f>ROUND($B10*K9,2)</f>
        <v/>
      </c>
      <c r="L10" s="151">
        <f>ROUND($B10*L9,2)</f>
        <v/>
      </c>
      <c r="M10" s="151">
        <f>ROUND($B10*M9,2)</f>
        <v/>
      </c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122" t="inlineStr">
        <is>
          <t>金额</t>
        </is>
      </c>
      <c r="B11" s="47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122" t="inlineStr">
        <is>
          <t>销项税</t>
        </is>
      </c>
      <c r="B12" s="47" t="inlineStr">
        <is>
          <t>6.00%</t>
        </is>
      </c>
      <c r="C12" s="151">
        <f>ROUND($B12*C11,2)</f>
        <v/>
      </c>
      <c r="D12" s="151">
        <f>ROUND($B12*D11,2)</f>
        <v/>
      </c>
      <c r="E12" s="151">
        <f>ROUND($B12*E11,2)</f>
        <v/>
      </c>
      <c r="F12" s="151">
        <f>ROUND($B12*F11,2)</f>
        <v/>
      </c>
      <c r="G12" s="151">
        <f>ROUND($B12*G11,2)</f>
        <v/>
      </c>
      <c r="H12" s="151">
        <f>ROUND($B12*H11,2)</f>
        <v/>
      </c>
      <c r="I12" s="151">
        <f>ROUND($B12*I11,2)</f>
        <v/>
      </c>
      <c r="J12" s="151">
        <f>ROUND($B12*J11,2)</f>
        <v/>
      </c>
      <c r="K12" s="151">
        <f>ROUND($B12*K11,2)</f>
        <v/>
      </c>
      <c r="L12" s="151">
        <f>ROUND($B12*L11,2)</f>
        <v/>
      </c>
      <c r="M12" s="151">
        <f>ROUND($B12*M11,2)</f>
        <v/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122" t="inlineStr">
        <is>
          <t>金额</t>
        </is>
      </c>
      <c r="B13" s="47" t="n"/>
      <c r="C13" s="149" t="n"/>
      <c r="D13" s="149" t="n"/>
      <c r="E13" s="149" t="n"/>
      <c r="F13" s="149" t="n"/>
      <c r="G13" s="149" t="n"/>
      <c r="H13" s="149" t="n"/>
      <c r="I13" s="149" t="n"/>
      <c r="J13" s="149" t="n"/>
      <c r="K13" s="149" t="n"/>
      <c r="L13" s="149" t="n"/>
      <c r="M13" s="149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122" t="inlineStr">
        <is>
          <t>销项税</t>
        </is>
      </c>
      <c r="B14" s="12" t="n"/>
      <c r="C14" s="151">
        <f>ROUND($B14*C13,2)</f>
        <v/>
      </c>
      <c r="D14" s="151">
        <f>ROUND($B14*D13,2)</f>
        <v/>
      </c>
      <c r="E14" s="151">
        <f>ROUND($B14*E13,2)</f>
        <v/>
      </c>
      <c r="F14" s="151">
        <f>ROUND($B14*F13,2)</f>
        <v/>
      </c>
      <c r="G14" s="151">
        <f>ROUND($B14*G13,2)</f>
        <v/>
      </c>
      <c r="H14" s="151">
        <f>ROUND($B14*H13,2)</f>
        <v/>
      </c>
      <c r="I14" s="151">
        <f>ROUND($B14*I13,2)</f>
        <v/>
      </c>
      <c r="J14" s="151">
        <f>ROUND($B14*J13,2)</f>
        <v/>
      </c>
      <c r="K14" s="151">
        <f>ROUND($B14*K13,2)</f>
        <v/>
      </c>
      <c r="L14" s="151">
        <f>ROUND($B14*L13,2)</f>
        <v/>
      </c>
      <c r="M14" s="151">
        <f>ROUND($B14*M13,2)</f>
        <v/>
      </c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 hidden="1">
      <c r="A15" s="122" t="inlineStr">
        <is>
          <t>金额</t>
        </is>
      </c>
      <c r="B15" s="47" t="n"/>
      <c r="C15" s="149" t="n"/>
      <c r="D15" s="149" t="n"/>
      <c r="E15" s="149" t="n"/>
      <c r="F15" s="149" t="n"/>
      <c r="G15" s="149" t="n"/>
      <c r="H15" s="149" t="n"/>
      <c r="I15" s="149" t="n"/>
      <c r="J15" s="149" t="n"/>
      <c r="K15" s="149" t="n"/>
      <c r="L15" s="149" t="n"/>
      <c r="M15" s="149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 hidden="1">
      <c r="A16" s="122" t="inlineStr">
        <is>
          <t>销项税</t>
        </is>
      </c>
      <c r="B16" s="12" t="n"/>
      <c r="C16" s="151">
        <f>ROUND($B16*C15,2)</f>
        <v/>
      </c>
      <c r="D16" s="151">
        <f>ROUND($B16*D15,2)</f>
        <v/>
      </c>
      <c r="E16" s="151">
        <f>ROUND($B16*E15,2)</f>
        <v/>
      </c>
      <c r="F16" s="151">
        <f>ROUND($B16*F15,2)</f>
        <v/>
      </c>
      <c r="G16" s="151">
        <f>ROUND($B16*G15,2)</f>
        <v/>
      </c>
      <c r="H16" s="151">
        <f>ROUND($B16*H15,2)</f>
        <v/>
      </c>
      <c r="I16" s="151">
        <f>ROUND($B16*I15,2)</f>
        <v/>
      </c>
      <c r="J16" s="151">
        <f>ROUND($B16*J15,2)</f>
        <v/>
      </c>
      <c r="K16" s="151">
        <f>ROUND($B16*K15,2)</f>
        <v/>
      </c>
      <c r="L16" s="151">
        <f>ROUND($B16*L15,2)</f>
        <v/>
      </c>
      <c r="M16" s="151">
        <f>ROUND($B16*M15,2)</f>
        <v/>
      </c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 hidden="1">
      <c r="A17" s="122" t="inlineStr">
        <is>
          <t>金额</t>
        </is>
      </c>
      <c r="B17" s="47" t="n"/>
      <c r="C17" s="149" t="n"/>
      <c r="D17" s="149" t="n"/>
      <c r="E17" s="149" t="n"/>
      <c r="F17" s="149" t="n"/>
      <c r="G17" s="149" t="n"/>
      <c r="H17" s="149" t="n"/>
      <c r="I17" s="149" t="n"/>
      <c r="J17" s="149" t="n"/>
      <c r="K17" s="149" t="n"/>
      <c r="L17" s="149" t="n"/>
      <c r="M17" s="149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 hidden="1">
      <c r="A18" s="122" t="inlineStr">
        <is>
          <t>销项税</t>
        </is>
      </c>
      <c r="B18" s="12" t="n"/>
      <c r="C18" s="151">
        <f>ROUND($B18*C17,2)</f>
        <v/>
      </c>
      <c r="D18" s="151">
        <f>ROUND($B18*D17,2)</f>
        <v/>
      </c>
      <c r="E18" s="151">
        <f>ROUND($B18*E17,2)</f>
        <v/>
      </c>
      <c r="F18" s="151">
        <f>ROUND($B18*F17,2)</f>
        <v/>
      </c>
      <c r="G18" s="151">
        <f>ROUND($B18*G17,2)</f>
        <v/>
      </c>
      <c r="H18" s="151">
        <f>ROUND($B18*H17,2)</f>
        <v/>
      </c>
      <c r="I18" s="151">
        <f>ROUND($B18*I17,2)</f>
        <v/>
      </c>
      <c r="J18" s="151">
        <f>ROUND($B18*J17,2)</f>
        <v/>
      </c>
      <c r="K18" s="151">
        <f>ROUND($B18*K17,2)</f>
        <v/>
      </c>
      <c r="L18" s="151">
        <f>ROUND($B18*L17,2)</f>
        <v/>
      </c>
      <c r="M18" s="151">
        <f>ROUND($B18*M17,2)</f>
        <v/>
      </c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 hidden="1">
      <c r="A19" s="122" t="inlineStr">
        <is>
          <t>金额</t>
        </is>
      </c>
      <c r="B19" s="47" t="n"/>
      <c r="C19" s="149" t="n"/>
      <c r="D19" s="149" t="n"/>
      <c r="E19" s="149" t="n"/>
      <c r="F19" s="149" t="n"/>
      <c r="G19" s="149" t="n"/>
      <c r="H19" s="149" t="n"/>
      <c r="I19" s="149" t="n"/>
      <c r="J19" s="149" t="n"/>
      <c r="K19" s="149" t="n"/>
      <c r="L19" s="149" t="n"/>
      <c r="M19" s="149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 hidden="1">
      <c r="A20" s="122" t="inlineStr">
        <is>
          <t>销项税</t>
        </is>
      </c>
      <c r="B20" s="12" t="n"/>
      <c r="C20" s="151">
        <f>ROUND($B20*C19,2)</f>
        <v/>
      </c>
      <c r="D20" s="151">
        <f>ROUND($B20*D19,2)</f>
        <v/>
      </c>
      <c r="E20" s="151">
        <f>ROUND($B20*E19,2)</f>
        <v/>
      </c>
      <c r="F20" s="151">
        <f>ROUND($B20*F19,2)</f>
        <v/>
      </c>
      <c r="G20" s="151">
        <f>ROUND($B20*G19,2)</f>
        <v/>
      </c>
      <c r="H20" s="151">
        <f>ROUND($B20*H19,2)</f>
        <v/>
      </c>
      <c r="I20" s="151">
        <f>ROUND($B20*I19,2)</f>
        <v/>
      </c>
      <c r="J20" s="151">
        <f>ROUND($B20*J19,2)</f>
        <v/>
      </c>
      <c r="K20" s="151">
        <f>ROUND($B20*K19,2)</f>
        <v/>
      </c>
      <c r="L20" s="151">
        <f>ROUND($B20*L19,2)</f>
        <v/>
      </c>
      <c r="M20" s="151">
        <f>ROUND($B20*M19,2)</f>
        <v/>
      </c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 hidden="1">
      <c r="A21" s="122" t="inlineStr">
        <is>
          <t>金额</t>
        </is>
      </c>
      <c r="B21" s="47" t="n"/>
      <c r="C21" s="149" t="n"/>
      <c r="D21" s="149" t="n"/>
      <c r="E21" s="149" t="n"/>
      <c r="F21" s="149" t="n"/>
      <c r="G21" s="149" t="n"/>
      <c r="H21" s="149" t="n"/>
      <c r="I21" s="149" t="n"/>
      <c r="J21" s="149" t="n"/>
      <c r="K21" s="149" t="n"/>
      <c r="L21" s="149" t="n"/>
      <c r="M21" s="149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 hidden="1">
      <c r="A22" s="122" t="inlineStr">
        <is>
          <t>销项税</t>
        </is>
      </c>
      <c r="B22" s="12" t="n"/>
      <c r="C22" s="151">
        <f>ROUND($B22*C21,2)</f>
        <v/>
      </c>
      <c r="D22" s="151">
        <f>ROUND($B22*D21,2)</f>
        <v/>
      </c>
      <c r="E22" s="151">
        <f>ROUND($B22*E21,2)</f>
        <v/>
      </c>
      <c r="F22" s="151">
        <f>ROUND($B22*F21,2)</f>
        <v/>
      </c>
      <c r="G22" s="151">
        <f>ROUND($B22*G21,2)</f>
        <v/>
      </c>
      <c r="H22" s="151">
        <f>ROUND($B22*H21,2)</f>
        <v/>
      </c>
      <c r="I22" s="151">
        <f>ROUND($B22*I21,2)</f>
        <v/>
      </c>
      <c r="J22" s="151">
        <f>ROUND($B22*J21,2)</f>
        <v/>
      </c>
      <c r="K22" s="151">
        <f>ROUND($B22*K21,2)</f>
        <v/>
      </c>
      <c r="L22" s="151">
        <f>ROUND($B22*L21,2)</f>
        <v/>
      </c>
      <c r="M22" s="151">
        <f>ROUND($B22*M21,2)</f>
        <v/>
      </c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136" t="inlineStr">
        <is>
          <t>其他业务收入：</t>
        </is>
      </c>
      <c r="B23" s="46" t="n"/>
      <c r="C23" s="148" t="n"/>
      <c r="D23" s="148" t="n"/>
      <c r="E23" s="148" t="n"/>
      <c r="F23" s="148" t="n"/>
      <c r="G23" s="148" t="n"/>
      <c r="H23" s="148" t="n"/>
      <c r="I23" s="148" t="n"/>
      <c r="J23" s="148" t="n"/>
      <c r="K23" s="148" t="n"/>
      <c r="L23" s="148" t="n"/>
      <c r="M23" s="148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122" t="inlineStr">
        <is>
          <t>金额</t>
        </is>
      </c>
      <c r="B24" s="47" t="n"/>
      <c r="C24" s="149" t="n"/>
      <c r="D24" s="149" t="n"/>
      <c r="E24" s="149" t="n"/>
      <c r="F24" s="149" t="n"/>
      <c r="G24" s="149" t="n"/>
      <c r="H24" s="149" t="n"/>
      <c r="I24" s="149" t="n"/>
      <c r="J24" s="149" t="n"/>
      <c r="K24" s="149" t="n"/>
      <c r="L24" s="149" t="n"/>
      <c r="M24" s="149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122" t="inlineStr">
        <is>
          <t>销项税</t>
        </is>
      </c>
      <c r="B25" s="47" t="inlineStr">
        <is>
          <t>13.00%</t>
        </is>
      </c>
      <c r="C25" s="151">
        <f>ROUND($B25*C24,2)</f>
        <v/>
      </c>
      <c r="D25" s="151">
        <f>ROUND($B25*D24,2)</f>
        <v/>
      </c>
      <c r="E25" s="151">
        <f>ROUND($B25*E24,2)</f>
        <v/>
      </c>
      <c r="F25" s="151">
        <f>ROUND($B25*F24,2)</f>
        <v/>
      </c>
      <c r="G25" s="151">
        <f>ROUND($B25*G24,2)</f>
        <v/>
      </c>
      <c r="H25" s="151">
        <f>ROUND($B25*H24,2)</f>
        <v/>
      </c>
      <c r="I25" s="151">
        <f>ROUND($B25*I24,2)</f>
        <v/>
      </c>
      <c r="J25" s="151">
        <f>ROUND($B25*J24,2)</f>
        <v/>
      </c>
      <c r="K25" s="151">
        <f>ROUND($B25*K24,2)</f>
        <v/>
      </c>
      <c r="L25" s="151">
        <f>ROUND($B25*L24,2)</f>
        <v/>
      </c>
      <c r="M25" s="151">
        <f>ROUND($B25*M24,2)</f>
        <v/>
      </c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122" t="inlineStr">
        <is>
          <t>金额</t>
        </is>
      </c>
      <c r="B26" s="47" t="n"/>
      <c r="C26" s="149" t="n"/>
      <c r="D26" s="149" t="n"/>
      <c r="E26" s="149" t="n"/>
      <c r="F26" s="149" t="n"/>
      <c r="G26" s="149" t="n"/>
      <c r="H26" s="149" t="n"/>
      <c r="I26" s="149" t="n"/>
      <c r="J26" s="149" t="n"/>
      <c r="K26" s="149" t="n"/>
      <c r="L26" s="149" t="n"/>
      <c r="M26" s="149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122" t="inlineStr">
        <is>
          <t>销项税</t>
        </is>
      </c>
      <c r="B27" s="47" t="inlineStr">
        <is>
          <t>9.00%</t>
        </is>
      </c>
      <c r="C27" s="151">
        <f>ROUND($B27*C26,2)</f>
        <v/>
      </c>
      <c r="D27" s="151">
        <f>ROUND($B27*D26,2)</f>
        <v/>
      </c>
      <c r="E27" s="151">
        <f>ROUND($B27*E26,2)</f>
        <v/>
      </c>
      <c r="F27" s="151">
        <f>ROUND($B27*F26,2)</f>
        <v/>
      </c>
      <c r="G27" s="151">
        <f>ROUND($B27*G26,2)</f>
        <v/>
      </c>
      <c r="H27" s="151">
        <f>ROUND($B27*H26,2)</f>
        <v/>
      </c>
      <c r="I27" s="151">
        <f>ROUND($B27*I26,2)</f>
        <v/>
      </c>
      <c r="J27" s="151">
        <f>ROUND($B27*J26,2)</f>
        <v/>
      </c>
      <c r="K27" s="151">
        <f>ROUND($B27*K26,2)</f>
        <v/>
      </c>
      <c r="L27" s="151">
        <f>ROUND($B27*L26,2)</f>
        <v/>
      </c>
      <c r="M27" s="151">
        <f>ROUND($B27*M26,2)</f>
        <v/>
      </c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122" t="inlineStr">
        <is>
          <t>金额</t>
        </is>
      </c>
      <c r="B28" s="47" t="n"/>
      <c r="C28" s="149" t="n"/>
      <c r="D28" s="149" t="n"/>
      <c r="E28" s="149" t="n"/>
      <c r="F28" s="149" t="n"/>
      <c r="G28" s="149" t="n"/>
      <c r="H28" s="149" t="n"/>
      <c r="I28" s="149" t="n"/>
      <c r="J28" s="149" t="n"/>
      <c r="K28" s="149" t="n"/>
      <c r="L28" s="149" t="n"/>
      <c r="M28" s="149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122" t="inlineStr">
        <is>
          <t>销项税</t>
        </is>
      </c>
      <c r="B29" s="47" t="inlineStr">
        <is>
          <t>6.00%</t>
        </is>
      </c>
      <c r="C29" s="151">
        <f>ROUND($B29*C28,2)</f>
        <v/>
      </c>
      <c r="D29" s="151">
        <f>ROUND($B29*D28,2)</f>
        <v/>
      </c>
      <c r="E29" s="151">
        <f>ROUND($B29*E28,2)</f>
        <v/>
      </c>
      <c r="F29" s="151">
        <f>ROUND($B29*F28,2)</f>
        <v/>
      </c>
      <c r="G29" s="151">
        <f>ROUND($B29*G28,2)</f>
        <v/>
      </c>
      <c r="H29" s="151">
        <f>ROUND($B29*H28,2)</f>
        <v/>
      </c>
      <c r="I29" s="151">
        <f>ROUND($B29*I28,2)</f>
        <v/>
      </c>
      <c r="J29" s="151">
        <f>ROUND($B29*J28,2)</f>
        <v/>
      </c>
      <c r="K29" s="151">
        <f>ROUND($B29*K28,2)</f>
        <v/>
      </c>
      <c r="L29" s="151">
        <f>ROUND($B29*L28,2)</f>
        <v/>
      </c>
      <c r="M29" s="151">
        <f>ROUND($B29*M28,2)</f>
        <v/>
      </c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122" t="inlineStr">
        <is>
          <t>金额</t>
        </is>
      </c>
      <c r="B30" s="47" t="n"/>
      <c r="C30" s="149" t="n"/>
      <c r="D30" s="149" t="n"/>
      <c r="E30" s="149" t="n"/>
      <c r="F30" s="149" t="n"/>
      <c r="G30" s="149" t="n"/>
      <c r="H30" s="149" t="n"/>
      <c r="I30" s="149" t="n"/>
      <c r="J30" s="149" t="n"/>
      <c r="K30" s="149" t="n"/>
      <c r="L30" s="149" t="n"/>
      <c r="M30" s="149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122" t="inlineStr">
        <is>
          <t>销项税</t>
        </is>
      </c>
      <c r="B31" s="12" t="n"/>
      <c r="C31" s="151">
        <f>ROUND($B31*C30,2)</f>
        <v/>
      </c>
      <c r="D31" s="151">
        <f>ROUND($B31*D30,2)</f>
        <v/>
      </c>
      <c r="E31" s="151">
        <f>ROUND($B31*E30,2)</f>
        <v/>
      </c>
      <c r="F31" s="151">
        <f>ROUND($B31*F30,2)</f>
        <v/>
      </c>
      <c r="G31" s="151">
        <f>ROUND($B31*G30,2)</f>
        <v/>
      </c>
      <c r="H31" s="151">
        <f>ROUND($B31*H30,2)</f>
        <v/>
      </c>
      <c r="I31" s="151">
        <f>ROUND($B31*I30,2)</f>
        <v/>
      </c>
      <c r="J31" s="151">
        <f>ROUND($B31*J30,2)</f>
        <v/>
      </c>
      <c r="K31" s="151">
        <f>ROUND($B31*K30,2)</f>
        <v/>
      </c>
      <c r="L31" s="151">
        <f>ROUND($B31*L30,2)</f>
        <v/>
      </c>
      <c r="M31" s="151">
        <f>ROUND($B31*M30,2)</f>
        <v/>
      </c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 hidden="1">
      <c r="A32" s="122" t="inlineStr">
        <is>
          <t>金额</t>
        </is>
      </c>
      <c r="B32" s="47" t="n"/>
      <c r="C32" s="149" t="n"/>
      <c r="D32" s="149" t="n"/>
      <c r="E32" s="149" t="n"/>
      <c r="F32" s="149" t="n"/>
      <c r="G32" s="149" t="n"/>
      <c r="H32" s="149" t="n"/>
      <c r="I32" s="149" t="n"/>
      <c r="J32" s="149" t="n"/>
      <c r="K32" s="149" t="n"/>
      <c r="L32" s="149" t="n"/>
      <c r="M32" s="149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 hidden="1">
      <c r="A33" s="122" t="inlineStr">
        <is>
          <t>销项税</t>
        </is>
      </c>
      <c r="B33" s="12" t="n"/>
      <c r="C33" s="151">
        <f>ROUND($B33*C32,2)</f>
        <v/>
      </c>
      <c r="D33" s="151">
        <f>ROUND($B33*D32,2)</f>
        <v/>
      </c>
      <c r="E33" s="151">
        <f>ROUND($B33*E32,2)</f>
        <v/>
      </c>
      <c r="F33" s="151">
        <f>ROUND($B33*F32,2)</f>
        <v/>
      </c>
      <c r="G33" s="151">
        <f>ROUND($B33*G32,2)</f>
        <v/>
      </c>
      <c r="H33" s="151">
        <f>ROUND($B33*H32,2)</f>
        <v/>
      </c>
      <c r="I33" s="151">
        <f>ROUND($B33*I32,2)</f>
        <v/>
      </c>
      <c r="J33" s="151">
        <f>ROUND($B33*J32,2)</f>
        <v/>
      </c>
      <c r="K33" s="151">
        <f>ROUND($B33*K32,2)</f>
        <v/>
      </c>
      <c r="L33" s="151">
        <f>ROUND($B33*L32,2)</f>
        <v/>
      </c>
      <c r="M33" s="151">
        <f>ROUND($B33*M32,2)</f>
        <v/>
      </c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 hidden="1">
      <c r="A34" s="122" t="inlineStr">
        <is>
          <t>金额</t>
        </is>
      </c>
      <c r="B34" s="47" t="n"/>
      <c r="C34" s="149" t="n"/>
      <c r="D34" s="149" t="n"/>
      <c r="E34" s="149" t="n"/>
      <c r="F34" s="149" t="n"/>
      <c r="G34" s="149" t="n"/>
      <c r="H34" s="149" t="n"/>
      <c r="I34" s="149" t="n"/>
      <c r="J34" s="149" t="n"/>
      <c r="K34" s="149" t="n"/>
      <c r="L34" s="149" t="n"/>
      <c r="M34" s="149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 hidden="1">
      <c r="A35" s="122" t="inlineStr">
        <is>
          <t>销项税</t>
        </is>
      </c>
      <c r="B35" s="12" t="n"/>
      <c r="C35" s="151">
        <f>ROUND($B35*C34,2)</f>
        <v/>
      </c>
      <c r="D35" s="151">
        <f>ROUND($B35*D34,2)</f>
        <v/>
      </c>
      <c r="E35" s="151">
        <f>ROUND($B35*E34,2)</f>
        <v/>
      </c>
      <c r="F35" s="151">
        <f>ROUND($B35*F34,2)</f>
        <v/>
      </c>
      <c r="G35" s="151">
        <f>ROUND($B35*G34,2)</f>
        <v/>
      </c>
      <c r="H35" s="151">
        <f>ROUND($B35*H34,2)</f>
        <v/>
      </c>
      <c r="I35" s="151">
        <f>ROUND($B35*I34,2)</f>
        <v/>
      </c>
      <c r="J35" s="151">
        <f>ROUND($B35*J34,2)</f>
        <v/>
      </c>
      <c r="K35" s="151">
        <f>ROUND($B35*K34,2)</f>
        <v/>
      </c>
      <c r="L35" s="151">
        <f>ROUND($B35*L34,2)</f>
        <v/>
      </c>
      <c r="M35" s="151">
        <f>ROUND($B35*M34,2)</f>
        <v/>
      </c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 hidden="1">
      <c r="A36" s="122" t="inlineStr">
        <is>
          <t>金额</t>
        </is>
      </c>
      <c r="B36" s="47" t="n"/>
      <c r="C36" s="149" t="n"/>
      <c r="D36" s="149" t="n"/>
      <c r="E36" s="149" t="n"/>
      <c r="F36" s="149" t="n"/>
      <c r="G36" s="149" t="n"/>
      <c r="H36" s="149" t="n"/>
      <c r="I36" s="149" t="n"/>
      <c r="J36" s="149" t="n"/>
      <c r="K36" s="149" t="n"/>
      <c r="L36" s="149" t="n"/>
      <c r="M36" s="149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 hidden="1">
      <c r="A37" s="122" t="inlineStr">
        <is>
          <t>销项税</t>
        </is>
      </c>
      <c r="B37" s="12" t="n"/>
      <c r="C37" s="151">
        <f>ROUND($B37*C36,2)</f>
        <v/>
      </c>
      <c r="D37" s="151">
        <f>ROUND($B37*D36,2)</f>
        <v/>
      </c>
      <c r="E37" s="151">
        <f>ROUND($B37*E36,2)</f>
        <v/>
      </c>
      <c r="F37" s="151">
        <f>ROUND($B37*F36,2)</f>
        <v/>
      </c>
      <c r="G37" s="151">
        <f>ROUND($B37*G36,2)</f>
        <v/>
      </c>
      <c r="H37" s="151">
        <f>ROUND($B37*H36,2)</f>
        <v/>
      </c>
      <c r="I37" s="151">
        <f>ROUND($B37*I36,2)</f>
        <v/>
      </c>
      <c r="J37" s="151">
        <f>ROUND($B37*J36,2)</f>
        <v/>
      </c>
      <c r="K37" s="151">
        <f>ROUND($B37*K36,2)</f>
        <v/>
      </c>
      <c r="L37" s="151">
        <f>ROUND($B37*L36,2)</f>
        <v/>
      </c>
      <c r="M37" s="151">
        <f>ROUND($B37*M36,2)</f>
        <v/>
      </c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 hidden="1">
      <c r="A38" s="122" t="inlineStr">
        <is>
          <t>金额</t>
        </is>
      </c>
      <c r="B38" s="47" t="n"/>
      <c r="C38" s="149" t="n"/>
      <c r="D38" s="149" t="n"/>
      <c r="E38" s="149" t="n"/>
      <c r="F38" s="149" t="n"/>
      <c r="G38" s="149" t="n"/>
      <c r="H38" s="149" t="n"/>
      <c r="I38" s="149" t="n"/>
      <c r="J38" s="149" t="n"/>
      <c r="K38" s="149" t="n"/>
      <c r="L38" s="149" t="n"/>
      <c r="M38" s="149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 hidden="1">
      <c r="A39" s="122" t="inlineStr">
        <is>
          <t>销项税</t>
        </is>
      </c>
      <c r="B39" s="12" t="n"/>
      <c r="C39" s="151">
        <f>ROUND($B39*C38,2)</f>
        <v/>
      </c>
      <c r="D39" s="151">
        <f>ROUND($B39*D38,2)</f>
        <v/>
      </c>
      <c r="E39" s="151">
        <f>ROUND($B39*E38,2)</f>
        <v/>
      </c>
      <c r="F39" s="151">
        <f>ROUND($B39*F38,2)</f>
        <v/>
      </c>
      <c r="G39" s="151">
        <f>ROUND($B39*G38,2)</f>
        <v/>
      </c>
      <c r="H39" s="151">
        <f>ROUND($B39*H38,2)</f>
        <v/>
      </c>
      <c r="I39" s="151">
        <f>ROUND($B39*I38,2)</f>
        <v/>
      </c>
      <c r="J39" s="151">
        <f>ROUND($B39*J38,2)</f>
        <v/>
      </c>
      <c r="K39" s="151">
        <f>ROUND($B39*K38,2)</f>
        <v/>
      </c>
      <c r="L39" s="151">
        <f>ROUND($B39*L38,2)</f>
        <v/>
      </c>
      <c r="M39" s="151">
        <f>ROUND($B39*M38,2)</f>
        <v/>
      </c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136" t="inlineStr">
        <is>
          <t>销项税合计</t>
        </is>
      </c>
      <c r="B40" s="48" t="n"/>
      <c r="C40" s="150">
        <f>SUMIF($A6:$A39,$A8,C6:C39)</f>
        <v/>
      </c>
      <c r="D40" s="150">
        <f>SUMIF($A6:$A39,$A8,D6:D39)</f>
        <v/>
      </c>
      <c r="E40" s="150">
        <f>SUMIF($A6:$A39,$A8,E6:E39)</f>
        <v/>
      </c>
      <c r="F40" s="150">
        <f>SUMIF($A6:$A39,$A8,F6:F39)</f>
        <v/>
      </c>
      <c r="G40" s="150">
        <f>SUMIF($A6:$A39,$A8,G6:G39)</f>
        <v/>
      </c>
      <c r="H40" s="150">
        <f>SUMIF($A6:$A39,$A8,H6:H39)</f>
        <v/>
      </c>
      <c r="I40" s="150">
        <f>SUMIF($A6:$A39,$A8,I6:I39)</f>
        <v/>
      </c>
      <c r="J40" s="150">
        <f>SUMIF($A6:$A39,$A8,J6:J39)</f>
        <v/>
      </c>
      <c r="K40" s="150">
        <f>SUMIF($A6:$A39,$A8,K6:K39)</f>
        <v/>
      </c>
      <c r="L40" s="150">
        <f>SUMIF($A6:$A39,$A8,L6:L39)</f>
        <v/>
      </c>
      <c r="M40" s="150">
        <f>SUMIF($A6:$A39,$A8,M6:M39)</f>
        <v/>
      </c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136" t="inlineStr">
        <is>
          <t>主营业务成本：</t>
        </is>
      </c>
      <c r="B41" s="46" t="n"/>
      <c r="C41" s="148" t="n"/>
      <c r="D41" s="148" t="n"/>
      <c r="E41" s="148" t="n"/>
      <c r="F41" s="148" t="n"/>
      <c r="G41" s="148" t="n"/>
      <c r="H41" s="148" t="n"/>
      <c r="I41" s="148" t="n"/>
      <c r="J41" s="148" t="n"/>
      <c r="K41" s="148" t="n"/>
      <c r="L41" s="148" t="n"/>
      <c r="M41" s="148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122" t="inlineStr">
        <is>
          <t>金额</t>
        </is>
      </c>
      <c r="B42" s="47" t="n"/>
      <c r="C42" s="149" t="n"/>
      <c r="D42" s="149" t="n"/>
      <c r="E42" s="149" t="n"/>
      <c r="F42" s="149" t="n"/>
      <c r="G42" s="149" t="n"/>
      <c r="H42" s="149" t="n"/>
      <c r="I42" s="149" t="n"/>
      <c r="J42" s="149" t="n"/>
      <c r="K42" s="149" t="n"/>
      <c r="L42" s="149" t="n"/>
      <c r="M42" s="149">
        <f>L42</f>
        <v/>
      </c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122" t="inlineStr">
        <is>
          <t>进项税</t>
        </is>
      </c>
      <c r="B43" s="47" t="inlineStr">
        <is>
          <t>13.00%</t>
        </is>
      </c>
      <c r="C43" s="151">
        <f>ROUND($B43*C42,2)</f>
        <v/>
      </c>
      <c r="D43" s="151">
        <f>ROUND($B43*D42,2)</f>
        <v/>
      </c>
      <c r="E43" s="151">
        <f>ROUND($B43*E42,2)</f>
        <v/>
      </c>
      <c r="F43" s="151">
        <f>ROUND($B43*F42,2)</f>
        <v/>
      </c>
      <c r="G43" s="151">
        <f>ROUND($B43*G42,2)</f>
        <v/>
      </c>
      <c r="H43" s="151">
        <f>ROUND($B43*H42,2)</f>
        <v/>
      </c>
      <c r="I43" s="151">
        <f>ROUND($B43*I42,2)</f>
        <v/>
      </c>
      <c r="J43" s="151">
        <f>ROUND($B43*J42,2)</f>
        <v/>
      </c>
      <c r="K43" s="151">
        <f>ROUND($B43*K42,2)</f>
        <v/>
      </c>
      <c r="L43" s="151">
        <f>ROUND($B43*L42,2)</f>
        <v/>
      </c>
      <c r="M43" s="151">
        <f>ROUND($B43*M42,2)</f>
        <v/>
      </c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122" t="inlineStr">
        <is>
          <t>金额</t>
        </is>
      </c>
      <c r="B44" s="47" t="n"/>
      <c r="C44" s="149" t="n"/>
      <c r="D44" s="149" t="n"/>
      <c r="E44" s="149" t="n"/>
      <c r="F44" s="149" t="n"/>
      <c r="G44" s="149" t="n"/>
      <c r="H44" s="149" t="n"/>
      <c r="I44" s="149" t="n"/>
      <c r="J44" s="149" t="n"/>
      <c r="K44" s="149" t="n"/>
      <c r="L44" s="149" t="n"/>
      <c r="M44" s="149">
        <f>L44</f>
        <v/>
      </c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122" t="inlineStr">
        <is>
          <t>进项税</t>
        </is>
      </c>
      <c r="B45" s="47" t="inlineStr">
        <is>
          <t>9.00%</t>
        </is>
      </c>
      <c r="C45" s="151">
        <f>ROUND($B45*C44,2)</f>
        <v/>
      </c>
      <c r="D45" s="151">
        <f>ROUND($B45*D44,2)</f>
        <v/>
      </c>
      <c r="E45" s="151">
        <f>ROUND($B45*E44,2)</f>
        <v/>
      </c>
      <c r="F45" s="151">
        <f>ROUND($B45*F44,2)</f>
        <v/>
      </c>
      <c r="G45" s="151">
        <f>ROUND($B45*G44,2)</f>
        <v/>
      </c>
      <c r="H45" s="151">
        <f>ROUND($B45*H44,2)</f>
        <v/>
      </c>
      <c r="I45" s="151">
        <f>ROUND($B45*I44,2)</f>
        <v/>
      </c>
      <c r="J45" s="151">
        <f>ROUND($B45*J44,2)</f>
        <v/>
      </c>
      <c r="K45" s="151">
        <f>ROUND($B45*K44,2)</f>
        <v/>
      </c>
      <c r="L45" s="151">
        <f>ROUND($B45*L44,2)</f>
        <v/>
      </c>
      <c r="M45" s="151">
        <f>ROUND($B45*M44,2)</f>
        <v/>
      </c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122" t="inlineStr">
        <is>
          <t>金额</t>
        </is>
      </c>
      <c r="B46" s="47" t="n"/>
      <c r="C46" s="149" t="n"/>
      <c r="D46" s="149" t="n"/>
      <c r="E46" s="149" t="n"/>
      <c r="F46" s="149" t="n"/>
      <c r="G46" s="149" t="n"/>
      <c r="H46" s="149" t="n"/>
      <c r="I46" s="149" t="n"/>
      <c r="J46" s="149" t="n"/>
      <c r="K46" s="149" t="n"/>
      <c r="L46" s="149" t="n"/>
      <c r="M46" s="149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122" t="inlineStr">
        <is>
          <t>进项税</t>
        </is>
      </c>
      <c r="B47" s="47" t="inlineStr">
        <is>
          <t>6.00%</t>
        </is>
      </c>
      <c r="C47" s="151">
        <f>ROUND($B47*C46,2)</f>
        <v/>
      </c>
      <c r="D47" s="151">
        <f>ROUND($B47*D46,2)</f>
        <v/>
      </c>
      <c r="E47" s="151">
        <f>ROUND($B47*E46,2)</f>
        <v/>
      </c>
      <c r="F47" s="151">
        <f>ROUND($B47*F46,2)</f>
        <v/>
      </c>
      <c r="G47" s="151">
        <f>ROUND($B47*G46,2)</f>
        <v/>
      </c>
      <c r="H47" s="151">
        <f>ROUND($B47*H46,2)</f>
        <v/>
      </c>
      <c r="I47" s="151">
        <f>ROUND($B47*I46,2)</f>
        <v/>
      </c>
      <c r="J47" s="151">
        <f>ROUND($B47*J46,2)</f>
        <v/>
      </c>
      <c r="K47" s="151">
        <f>ROUND($B47*K46,2)</f>
        <v/>
      </c>
      <c r="L47" s="151">
        <f>ROUND($B47*L46,2)</f>
        <v/>
      </c>
      <c r="M47" s="151">
        <f>ROUND($B47*M46,2)</f>
        <v/>
      </c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122" t="inlineStr">
        <is>
          <t>金额</t>
        </is>
      </c>
      <c r="B48" s="47" t="n"/>
      <c r="C48" s="149" t="n"/>
      <c r="D48" s="149" t="n"/>
      <c r="E48" s="149" t="n"/>
      <c r="F48" s="149" t="n"/>
      <c r="G48" s="149" t="n"/>
      <c r="H48" s="149" t="n"/>
      <c r="I48" s="149" t="n"/>
      <c r="J48" s="149" t="n"/>
      <c r="K48" s="149" t="n"/>
      <c r="L48" s="149" t="n"/>
      <c r="M48" s="149">
        <f>L48</f>
        <v/>
      </c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122" t="inlineStr">
        <is>
          <t>进项税</t>
        </is>
      </c>
      <c r="B49" s="12" t="n"/>
      <c r="C49" s="151">
        <f>ROUND($B49*C48,2)</f>
        <v/>
      </c>
      <c r="D49" s="151">
        <f>ROUND($B49*D48,2)</f>
        <v/>
      </c>
      <c r="E49" s="151">
        <f>ROUND($B49*E48,2)</f>
        <v/>
      </c>
      <c r="F49" s="151">
        <f>ROUND($B49*F48,2)</f>
        <v/>
      </c>
      <c r="G49" s="151">
        <f>ROUND($B49*G48,2)</f>
        <v/>
      </c>
      <c r="H49" s="151">
        <f>ROUND($B49*H48,2)</f>
        <v/>
      </c>
      <c r="I49" s="151">
        <f>ROUND($B49*I48,2)</f>
        <v/>
      </c>
      <c r="J49" s="151">
        <f>ROUND($B49*J48,2)</f>
        <v/>
      </c>
      <c r="K49" s="151">
        <f>ROUND($B49*K48,2)</f>
        <v/>
      </c>
      <c r="L49" s="151">
        <f>ROUND($B49*L48,2)</f>
        <v/>
      </c>
      <c r="M49" s="151">
        <f>ROUND($B49*M48,2)</f>
        <v/>
      </c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 hidden="1" ht="14.4" customHeight="1">
      <c r="A50" s="122" t="inlineStr">
        <is>
          <t>金额</t>
        </is>
      </c>
      <c r="B50" s="47" t="n"/>
      <c r="C50" s="149" t="n"/>
      <c r="D50" s="149" t="n"/>
      <c r="E50" s="149" t="n"/>
      <c r="F50" s="149" t="n"/>
      <c r="G50" s="149" t="n"/>
      <c r="H50" s="149" t="n"/>
      <c r="I50" s="149" t="n"/>
      <c r="J50" s="149" t="n"/>
      <c r="K50" s="149" t="n"/>
      <c r="L50" s="149" t="n"/>
      <c r="M50" s="149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 hidden="1" ht="14.4" customHeight="1">
      <c r="A51" s="122" t="inlineStr">
        <is>
          <t>进项税</t>
        </is>
      </c>
      <c r="B51" s="12" t="n"/>
      <c r="C51" s="151">
        <f>ROUND($B51*C50,2)</f>
        <v/>
      </c>
      <c r="D51" s="151">
        <f>ROUND($B51*D50,2)</f>
        <v/>
      </c>
      <c r="E51" s="151">
        <f>ROUND($B51*E50,2)</f>
        <v/>
      </c>
      <c r="F51" s="151">
        <f>ROUND($B51*F50,2)</f>
        <v/>
      </c>
      <c r="G51" s="151">
        <f>ROUND($B51*G50,2)</f>
        <v/>
      </c>
      <c r="H51" s="151">
        <f>ROUND($B51*H50,2)</f>
        <v/>
      </c>
      <c r="I51" s="151">
        <f>ROUND($B51*I50,2)</f>
        <v/>
      </c>
      <c r="J51" s="151">
        <f>ROUND($B51*J50,2)</f>
        <v/>
      </c>
      <c r="K51" s="151">
        <f>ROUND($B51*K50,2)</f>
        <v/>
      </c>
      <c r="L51" s="151">
        <f>ROUND($B51*L50,2)</f>
        <v/>
      </c>
      <c r="M51" s="151">
        <f>ROUND($B51*M50,2)</f>
        <v/>
      </c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 hidden="1" ht="14.4" customHeight="1">
      <c r="A52" s="122" t="inlineStr">
        <is>
          <t>金额</t>
        </is>
      </c>
      <c r="B52" s="47" t="n"/>
      <c r="C52" s="149" t="n"/>
      <c r="D52" s="149" t="n"/>
      <c r="E52" s="149" t="n"/>
      <c r="F52" s="149" t="n"/>
      <c r="G52" s="149" t="n"/>
      <c r="H52" s="149" t="n"/>
      <c r="I52" s="149" t="n"/>
      <c r="J52" s="149" t="n"/>
      <c r="K52" s="149" t="n"/>
      <c r="L52" s="149" t="n"/>
      <c r="M52" s="149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 hidden="1" ht="14.4" customHeight="1">
      <c r="A53" s="122" t="inlineStr">
        <is>
          <t>进项税</t>
        </is>
      </c>
      <c r="B53" s="12" t="n"/>
      <c r="C53" s="151">
        <f>ROUND($B53*C52,2)</f>
        <v/>
      </c>
      <c r="D53" s="151">
        <f>ROUND($B53*D52,2)</f>
        <v/>
      </c>
      <c r="E53" s="151">
        <f>ROUND($B53*E52,2)</f>
        <v/>
      </c>
      <c r="F53" s="151">
        <f>ROUND($B53*F52,2)</f>
        <v/>
      </c>
      <c r="G53" s="151">
        <f>ROUND($B53*G52,2)</f>
        <v/>
      </c>
      <c r="H53" s="151">
        <f>ROUND($B53*H52,2)</f>
        <v/>
      </c>
      <c r="I53" s="151">
        <f>ROUND($B53*I52,2)</f>
        <v/>
      </c>
      <c r="J53" s="151">
        <f>ROUND($B53*J52,2)</f>
        <v/>
      </c>
      <c r="K53" s="151">
        <f>ROUND($B53*K52,2)</f>
        <v/>
      </c>
      <c r="L53" s="151">
        <f>ROUND($B53*L52,2)</f>
        <v/>
      </c>
      <c r="M53" s="151">
        <f>ROUND($B53*M52,2)</f>
        <v/>
      </c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 hidden="1" ht="14.4" customHeight="1">
      <c r="A54" s="122" t="inlineStr">
        <is>
          <t>金额</t>
        </is>
      </c>
      <c r="B54" s="47" t="n"/>
      <c r="C54" s="149" t="n"/>
      <c r="D54" s="149" t="n"/>
      <c r="E54" s="149" t="n"/>
      <c r="F54" s="149" t="n"/>
      <c r="G54" s="149" t="n"/>
      <c r="H54" s="149" t="n"/>
      <c r="I54" s="149" t="n"/>
      <c r="J54" s="149" t="n"/>
      <c r="K54" s="149" t="n"/>
      <c r="L54" s="149" t="n"/>
      <c r="M54" s="149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 hidden="1" ht="14.4" customHeight="1">
      <c r="A55" s="122" t="inlineStr">
        <is>
          <t>进项税</t>
        </is>
      </c>
      <c r="B55" s="12" t="n"/>
      <c r="C55" s="151">
        <f>ROUND($B55*C54,2)</f>
        <v/>
      </c>
      <c r="D55" s="151">
        <f>ROUND($B55*D54,2)</f>
        <v/>
      </c>
      <c r="E55" s="151">
        <f>ROUND($B55*E54,2)</f>
        <v/>
      </c>
      <c r="F55" s="151">
        <f>ROUND($B55*F54,2)</f>
        <v/>
      </c>
      <c r="G55" s="151">
        <f>ROUND($B55*G54,2)</f>
        <v/>
      </c>
      <c r="H55" s="151">
        <f>ROUND($B55*H54,2)</f>
        <v/>
      </c>
      <c r="I55" s="151">
        <f>ROUND($B55*I54,2)</f>
        <v/>
      </c>
      <c r="J55" s="151">
        <f>ROUND($B55*J54,2)</f>
        <v/>
      </c>
      <c r="K55" s="151">
        <f>ROUND($B55*K54,2)</f>
        <v/>
      </c>
      <c r="L55" s="151">
        <f>ROUND($B55*L54,2)</f>
        <v/>
      </c>
      <c r="M55" s="151">
        <f>ROUND($B55*M54,2)</f>
        <v/>
      </c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 hidden="1" ht="14.4" customHeight="1">
      <c r="A56" s="122" t="inlineStr">
        <is>
          <t>金额</t>
        </is>
      </c>
      <c r="B56" s="47" t="n"/>
      <c r="C56" s="149" t="n"/>
      <c r="D56" s="149" t="n"/>
      <c r="E56" s="149" t="n"/>
      <c r="F56" s="149" t="n"/>
      <c r="G56" s="149" t="n"/>
      <c r="H56" s="149" t="n"/>
      <c r="I56" s="149" t="n"/>
      <c r="J56" s="149" t="n"/>
      <c r="K56" s="149" t="n"/>
      <c r="L56" s="149" t="n"/>
      <c r="M56" s="149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 hidden="1" ht="14.4" customHeight="1">
      <c r="A57" s="122" t="inlineStr">
        <is>
          <t>进项税</t>
        </is>
      </c>
      <c r="B57" s="12" t="n"/>
      <c r="C57" s="151">
        <f>ROUND($B57*C56,2)</f>
        <v/>
      </c>
      <c r="D57" s="151">
        <f>ROUND($B57*D56,2)</f>
        <v/>
      </c>
      <c r="E57" s="151">
        <f>ROUND($B57*E56,2)</f>
        <v/>
      </c>
      <c r="F57" s="151">
        <f>ROUND($B57*F56,2)</f>
        <v/>
      </c>
      <c r="G57" s="151">
        <f>ROUND($B57*G56,2)</f>
        <v/>
      </c>
      <c r="H57" s="151">
        <f>ROUND($B57*H56,2)</f>
        <v/>
      </c>
      <c r="I57" s="151">
        <f>ROUND($B57*I56,2)</f>
        <v/>
      </c>
      <c r="J57" s="151">
        <f>ROUND($B57*J56,2)</f>
        <v/>
      </c>
      <c r="K57" s="151">
        <f>ROUND($B57*K56,2)</f>
        <v/>
      </c>
      <c r="L57" s="151">
        <f>ROUND($B57*L56,2)</f>
        <v/>
      </c>
      <c r="M57" s="151">
        <f>ROUND($B57*M56,2)</f>
        <v/>
      </c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136" t="inlineStr">
        <is>
          <t>其他业务成本：</t>
        </is>
      </c>
      <c r="B58" s="46" t="n"/>
      <c r="C58" s="148" t="n"/>
      <c r="D58" s="148" t="n"/>
      <c r="E58" s="148" t="n"/>
      <c r="F58" s="148" t="n"/>
      <c r="G58" s="148" t="n"/>
      <c r="H58" s="148" t="n"/>
      <c r="I58" s="148" t="n"/>
      <c r="J58" s="148" t="n"/>
      <c r="K58" s="148" t="n"/>
      <c r="L58" s="148" t="n"/>
      <c r="M58" s="148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122" t="inlineStr">
        <is>
          <t>金额</t>
        </is>
      </c>
      <c r="B59" s="47" t="n"/>
      <c r="C59" s="149" t="n"/>
      <c r="D59" s="149" t="n"/>
      <c r="E59" s="149" t="n"/>
      <c r="F59" s="149" t="n"/>
      <c r="G59" s="149" t="n"/>
      <c r="H59" s="149" t="n"/>
      <c r="I59" s="149" t="n"/>
      <c r="J59" s="149" t="n"/>
      <c r="K59" s="149" t="n"/>
      <c r="L59" s="149" t="n"/>
      <c r="M59" s="149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122" t="inlineStr">
        <is>
          <t>进项税</t>
        </is>
      </c>
      <c r="B60" s="47" t="inlineStr">
        <is>
          <t>13.00%</t>
        </is>
      </c>
      <c r="C60" s="151">
        <f>ROUND($B60*C59,2)</f>
        <v/>
      </c>
      <c r="D60" s="151">
        <f>ROUND($B60*D59,2)</f>
        <v/>
      </c>
      <c r="E60" s="151">
        <f>ROUND($B60*E59,2)</f>
        <v/>
      </c>
      <c r="F60" s="151">
        <f>ROUND($B60*F59,2)</f>
        <v/>
      </c>
      <c r="G60" s="151">
        <f>ROUND($B60*G59,2)</f>
        <v/>
      </c>
      <c r="H60" s="151">
        <f>ROUND($B60*H59,2)</f>
        <v/>
      </c>
      <c r="I60" s="151">
        <f>ROUND($B60*I59,2)</f>
        <v/>
      </c>
      <c r="J60" s="151">
        <f>ROUND($B60*J59,2)</f>
        <v/>
      </c>
      <c r="K60" s="151">
        <f>ROUND($B60*K59,2)</f>
        <v/>
      </c>
      <c r="L60" s="151">
        <f>ROUND($B60*L59,2)</f>
        <v/>
      </c>
      <c r="M60" s="151">
        <f>ROUND($B60*M59,2)</f>
        <v/>
      </c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122" t="inlineStr">
        <is>
          <t>金额</t>
        </is>
      </c>
      <c r="B61" s="47" t="n"/>
      <c r="C61" s="149" t="n"/>
      <c r="D61" s="149" t="n"/>
      <c r="E61" s="149" t="n"/>
      <c r="F61" s="149" t="n"/>
      <c r="G61" s="149" t="n"/>
      <c r="H61" s="149" t="n"/>
      <c r="I61" s="149" t="n"/>
      <c r="J61" s="149" t="n"/>
      <c r="K61" s="149" t="n"/>
      <c r="L61" s="149" t="n"/>
      <c r="M61" s="149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122" t="inlineStr">
        <is>
          <t>进项税</t>
        </is>
      </c>
      <c r="B62" s="47" t="inlineStr">
        <is>
          <t>9.00%</t>
        </is>
      </c>
      <c r="C62" s="151">
        <f>ROUND($B62*C61,2)</f>
        <v/>
      </c>
      <c r="D62" s="151">
        <f>ROUND($B62*D61,2)</f>
        <v/>
      </c>
      <c r="E62" s="151">
        <f>ROUND($B62*E61,2)</f>
        <v/>
      </c>
      <c r="F62" s="151">
        <f>ROUND($B62*F61,2)</f>
        <v/>
      </c>
      <c r="G62" s="151">
        <f>ROUND($B62*G61,2)</f>
        <v/>
      </c>
      <c r="H62" s="151">
        <f>ROUND($B62*H61,2)</f>
        <v/>
      </c>
      <c r="I62" s="151">
        <f>ROUND($B62*I61,2)</f>
        <v/>
      </c>
      <c r="J62" s="151">
        <f>ROUND($B62*J61,2)</f>
        <v/>
      </c>
      <c r="K62" s="151">
        <f>ROUND($B62*K61,2)</f>
        <v/>
      </c>
      <c r="L62" s="151">
        <f>ROUND($B62*L61,2)</f>
        <v/>
      </c>
      <c r="M62" s="151">
        <f>ROUND($B62*M61,2)</f>
        <v/>
      </c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122" t="inlineStr">
        <is>
          <t>金额</t>
        </is>
      </c>
      <c r="B63" s="47" t="n"/>
      <c r="C63" s="149" t="n"/>
      <c r="D63" s="149" t="n"/>
      <c r="E63" s="149" t="n"/>
      <c r="F63" s="149" t="n"/>
      <c r="G63" s="149" t="n"/>
      <c r="H63" s="149" t="n"/>
      <c r="I63" s="149" t="n"/>
      <c r="J63" s="149" t="n"/>
      <c r="K63" s="149" t="n"/>
      <c r="L63" s="149" t="n"/>
      <c r="M63" s="149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122" t="inlineStr">
        <is>
          <t>进项税</t>
        </is>
      </c>
      <c r="B64" s="47" t="inlineStr">
        <is>
          <t>6.00%</t>
        </is>
      </c>
      <c r="C64" s="151">
        <f>ROUND($B64*C63,2)</f>
        <v/>
      </c>
      <c r="D64" s="151">
        <f>ROUND($B64*D63,2)</f>
        <v/>
      </c>
      <c r="E64" s="151">
        <f>ROUND($B64*E63,2)</f>
        <v/>
      </c>
      <c r="F64" s="151">
        <f>ROUND($B64*F63,2)</f>
        <v/>
      </c>
      <c r="G64" s="151">
        <f>ROUND($B64*G63,2)</f>
        <v/>
      </c>
      <c r="H64" s="151">
        <f>ROUND($B64*H63,2)</f>
        <v/>
      </c>
      <c r="I64" s="151">
        <f>ROUND($B64*I63,2)</f>
        <v/>
      </c>
      <c r="J64" s="151">
        <f>ROUND($B64*J63,2)</f>
        <v/>
      </c>
      <c r="K64" s="151">
        <f>ROUND($B64*K63,2)</f>
        <v/>
      </c>
      <c r="L64" s="151">
        <f>ROUND($B64*L63,2)</f>
        <v/>
      </c>
      <c r="M64" s="151">
        <f>ROUND($B64*M63,2)</f>
        <v/>
      </c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122" t="inlineStr">
        <is>
          <t>金额</t>
        </is>
      </c>
      <c r="B65" s="47" t="n"/>
      <c r="C65" s="149" t="n"/>
      <c r="D65" s="149" t="n"/>
      <c r="E65" s="149" t="n"/>
      <c r="F65" s="149" t="n"/>
      <c r="G65" s="149" t="n"/>
      <c r="H65" s="149" t="n"/>
      <c r="I65" s="149" t="n"/>
      <c r="J65" s="149" t="n"/>
      <c r="K65" s="149" t="n"/>
      <c r="L65" s="149" t="n"/>
      <c r="M65" s="149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122" t="inlineStr">
        <is>
          <t>进项税</t>
        </is>
      </c>
      <c r="B66" s="12" t="n"/>
      <c r="C66" s="151">
        <f>ROUND($B66*C65,2)</f>
        <v/>
      </c>
      <c r="D66" s="151">
        <f>ROUND($B66*D65,2)</f>
        <v/>
      </c>
      <c r="E66" s="151">
        <f>ROUND($B66*E65,2)</f>
        <v/>
      </c>
      <c r="F66" s="151">
        <f>ROUND($B66*F65,2)</f>
        <v/>
      </c>
      <c r="G66" s="151">
        <f>ROUND($B66*G65,2)</f>
        <v/>
      </c>
      <c r="H66" s="151">
        <f>ROUND($B66*H65,2)</f>
        <v/>
      </c>
      <c r="I66" s="151">
        <f>ROUND($B66*I65,2)</f>
        <v/>
      </c>
      <c r="J66" s="151">
        <f>ROUND($B66*J65,2)</f>
        <v/>
      </c>
      <c r="K66" s="151">
        <f>ROUND($B66*K65,2)</f>
        <v/>
      </c>
      <c r="L66" s="151">
        <f>ROUND($B66*L65,2)</f>
        <v/>
      </c>
      <c r="M66" s="151">
        <f>ROUND($B66*M65,2)</f>
        <v/>
      </c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 hidden="1">
      <c r="A67" s="122" t="inlineStr">
        <is>
          <t>金额</t>
        </is>
      </c>
      <c r="B67" s="47" t="n"/>
      <c r="C67" s="149" t="n"/>
      <c r="D67" s="149" t="n"/>
      <c r="E67" s="149" t="n"/>
      <c r="F67" s="149" t="n"/>
      <c r="G67" s="149" t="n"/>
      <c r="H67" s="149" t="n"/>
      <c r="I67" s="149" t="n"/>
      <c r="J67" s="149" t="n"/>
      <c r="K67" s="149" t="n"/>
      <c r="L67" s="149" t="n"/>
      <c r="M67" s="149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 hidden="1">
      <c r="A68" s="122" t="inlineStr">
        <is>
          <t>进项税</t>
        </is>
      </c>
      <c r="B68" s="12" t="n"/>
      <c r="C68" s="151">
        <f>ROUND($B68*C67,2)</f>
        <v/>
      </c>
      <c r="D68" s="151">
        <f>ROUND($B68*D67,2)</f>
        <v/>
      </c>
      <c r="E68" s="151">
        <f>ROUND($B68*E67,2)</f>
        <v/>
      </c>
      <c r="F68" s="151">
        <f>ROUND($B68*F67,2)</f>
        <v/>
      </c>
      <c r="G68" s="151">
        <f>ROUND($B68*G67,2)</f>
        <v/>
      </c>
      <c r="H68" s="151">
        <f>ROUND($B68*H67,2)</f>
        <v/>
      </c>
      <c r="I68" s="151">
        <f>ROUND($B68*I67,2)</f>
        <v/>
      </c>
      <c r="J68" s="151">
        <f>ROUND($B68*J67,2)</f>
        <v/>
      </c>
      <c r="K68" s="151">
        <f>ROUND($B68*K67,2)</f>
        <v/>
      </c>
      <c r="L68" s="151">
        <f>ROUND($B68*L67,2)</f>
        <v/>
      </c>
      <c r="M68" s="151">
        <f>ROUND($B68*M67,2)</f>
        <v/>
      </c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 hidden="1">
      <c r="A69" s="122" t="inlineStr">
        <is>
          <t>金额</t>
        </is>
      </c>
      <c r="B69" s="47" t="n"/>
      <c r="C69" s="149" t="n"/>
      <c r="D69" s="149" t="n"/>
      <c r="E69" s="149" t="n"/>
      <c r="F69" s="149" t="n"/>
      <c r="G69" s="149" t="n"/>
      <c r="H69" s="149" t="n"/>
      <c r="I69" s="149" t="n"/>
      <c r="J69" s="149" t="n"/>
      <c r="K69" s="149" t="n"/>
      <c r="L69" s="149" t="n"/>
      <c r="M69" s="149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 hidden="1">
      <c r="A70" s="122" t="inlineStr">
        <is>
          <t>进项税</t>
        </is>
      </c>
      <c r="B70" s="12" t="n"/>
      <c r="C70" s="151">
        <f>ROUND($B70*C69,2)</f>
        <v/>
      </c>
      <c r="D70" s="151">
        <f>ROUND($B70*D69,2)</f>
        <v/>
      </c>
      <c r="E70" s="151">
        <f>ROUND($B70*E69,2)</f>
        <v/>
      </c>
      <c r="F70" s="151">
        <f>ROUND($B70*F69,2)</f>
        <v/>
      </c>
      <c r="G70" s="151">
        <f>ROUND($B70*G69,2)</f>
        <v/>
      </c>
      <c r="H70" s="151">
        <f>ROUND($B70*H69,2)</f>
        <v/>
      </c>
      <c r="I70" s="151">
        <f>ROUND($B70*I69,2)</f>
        <v/>
      </c>
      <c r="J70" s="151">
        <f>ROUND($B70*J69,2)</f>
        <v/>
      </c>
      <c r="K70" s="151">
        <f>ROUND($B70*K69,2)</f>
        <v/>
      </c>
      <c r="L70" s="151">
        <f>ROUND($B70*L69,2)</f>
        <v/>
      </c>
      <c r="M70" s="151">
        <f>ROUND($B70*M69,2)</f>
        <v/>
      </c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 hidden="1">
      <c r="A71" s="122" t="inlineStr">
        <is>
          <t>金额</t>
        </is>
      </c>
      <c r="B71" s="47" t="n"/>
      <c r="C71" s="149" t="n"/>
      <c r="D71" s="149" t="n"/>
      <c r="E71" s="149" t="n"/>
      <c r="F71" s="149" t="n"/>
      <c r="G71" s="149" t="n"/>
      <c r="H71" s="149" t="n"/>
      <c r="I71" s="149" t="n"/>
      <c r="J71" s="149" t="n"/>
      <c r="K71" s="149" t="n"/>
      <c r="L71" s="149" t="n"/>
      <c r="M71" s="149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 hidden="1">
      <c r="A72" s="122" t="inlineStr">
        <is>
          <t>进项税</t>
        </is>
      </c>
      <c r="B72" s="12" t="n"/>
      <c r="C72" s="151">
        <f>ROUND($B72*C71,2)</f>
        <v/>
      </c>
      <c r="D72" s="151">
        <f>ROUND($B72*D71,2)</f>
        <v/>
      </c>
      <c r="E72" s="151">
        <f>ROUND($B72*E71,2)</f>
        <v/>
      </c>
      <c r="F72" s="151">
        <f>ROUND($B72*F71,2)</f>
        <v/>
      </c>
      <c r="G72" s="151">
        <f>ROUND($B72*G71,2)</f>
        <v/>
      </c>
      <c r="H72" s="151">
        <f>ROUND($B72*H71,2)</f>
        <v/>
      </c>
      <c r="I72" s="151">
        <f>ROUND($B72*I71,2)</f>
        <v/>
      </c>
      <c r="J72" s="151">
        <f>ROUND($B72*J71,2)</f>
        <v/>
      </c>
      <c r="K72" s="151">
        <f>ROUND($B72*K71,2)</f>
        <v/>
      </c>
      <c r="L72" s="151">
        <f>ROUND($B72*L71,2)</f>
        <v/>
      </c>
      <c r="M72" s="151">
        <f>ROUND($B72*M71,2)</f>
        <v/>
      </c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 hidden="1">
      <c r="A73" s="122" t="inlineStr">
        <is>
          <t>金额</t>
        </is>
      </c>
      <c r="B73" s="47" t="n"/>
      <c r="C73" s="149" t="n"/>
      <c r="D73" s="149" t="n"/>
      <c r="E73" s="149" t="n"/>
      <c r="F73" s="149" t="n"/>
      <c r="G73" s="149" t="n"/>
      <c r="H73" s="149" t="n"/>
      <c r="I73" s="149" t="n"/>
      <c r="J73" s="149" t="n"/>
      <c r="K73" s="149" t="n"/>
      <c r="L73" s="149" t="n"/>
      <c r="M73" s="149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 hidden="1">
      <c r="A74" s="122" t="inlineStr">
        <is>
          <t>进项税</t>
        </is>
      </c>
      <c r="B74" s="12" t="n"/>
      <c r="C74" s="151">
        <f>ROUND($B74*C73,2)</f>
        <v/>
      </c>
      <c r="D74" s="151">
        <f>ROUND($B74*D73,2)</f>
        <v/>
      </c>
      <c r="E74" s="151">
        <f>ROUND($B74*E73,2)</f>
        <v/>
      </c>
      <c r="F74" s="151">
        <f>ROUND($B74*F73,2)</f>
        <v/>
      </c>
      <c r="G74" s="151">
        <f>ROUND($B74*G73,2)</f>
        <v/>
      </c>
      <c r="H74" s="151">
        <f>ROUND($B74*H73,2)</f>
        <v/>
      </c>
      <c r="I74" s="151">
        <f>ROUND($B74*I73,2)</f>
        <v/>
      </c>
      <c r="J74" s="151">
        <f>ROUND($B74*J73,2)</f>
        <v/>
      </c>
      <c r="K74" s="151">
        <f>ROUND($B74*K73,2)</f>
        <v/>
      </c>
      <c r="L74" s="151">
        <f>ROUND($B74*L73,2)</f>
        <v/>
      </c>
      <c r="M74" s="151">
        <f>ROUND($B74*M73,2)</f>
        <v/>
      </c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136" t="inlineStr">
        <is>
          <t>制造费用：</t>
        </is>
      </c>
      <c r="B75" s="46" t="n"/>
      <c r="C75" s="148" t="n"/>
      <c r="D75" s="148" t="n"/>
      <c r="E75" s="148" t="n"/>
      <c r="F75" s="148" t="n"/>
      <c r="G75" s="148" t="n"/>
      <c r="H75" s="148" t="n"/>
      <c r="I75" s="148" t="n"/>
      <c r="J75" s="148" t="n"/>
      <c r="K75" s="148" t="n"/>
      <c r="L75" s="148" t="n"/>
      <c r="M75" s="148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122" t="inlineStr">
        <is>
          <t>金额</t>
        </is>
      </c>
      <c r="B76" s="47" t="n"/>
      <c r="C76" s="149" t="n"/>
      <c r="D76" s="149" t="n"/>
      <c r="E76" s="149" t="n"/>
      <c r="F76" s="149" t="n"/>
      <c r="G76" s="149" t="n"/>
      <c r="H76" s="149" t="n"/>
      <c r="I76" s="149" t="n"/>
      <c r="J76" s="149" t="n"/>
      <c r="K76" s="149" t="n"/>
      <c r="L76" s="149" t="n"/>
      <c r="M76" s="149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122" t="inlineStr">
        <is>
          <t>进项税</t>
        </is>
      </c>
      <c r="B77" s="47" t="inlineStr">
        <is>
          <t>13.00%</t>
        </is>
      </c>
      <c r="C77" s="151">
        <f>ROUND($B77*C76,2)</f>
        <v/>
      </c>
      <c r="D77" s="151">
        <f>ROUND($B77*D76,2)</f>
        <v/>
      </c>
      <c r="E77" s="151">
        <f>ROUND($B77*E76,2)</f>
        <v/>
      </c>
      <c r="F77" s="151">
        <f>ROUND($B77*F76,2)</f>
        <v/>
      </c>
      <c r="G77" s="151">
        <f>ROUND($B77*G76,2)</f>
        <v/>
      </c>
      <c r="H77" s="151">
        <f>ROUND($B77*H76,2)</f>
        <v/>
      </c>
      <c r="I77" s="151">
        <f>ROUND($B77*I76,2)</f>
        <v/>
      </c>
      <c r="J77" s="151">
        <f>ROUND($B77*J76,2)</f>
        <v/>
      </c>
      <c r="K77" s="151">
        <f>ROUND($B77*K76,2)</f>
        <v/>
      </c>
      <c r="L77" s="151">
        <f>ROUND($B77*L76,2)</f>
        <v/>
      </c>
      <c r="M77" s="151">
        <f>ROUND($B77*M76,2)</f>
        <v/>
      </c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122" t="inlineStr">
        <is>
          <t>金额</t>
        </is>
      </c>
      <c r="B78" s="47" t="n"/>
      <c r="C78" s="149" t="n"/>
      <c r="D78" s="149" t="n"/>
      <c r="E78" s="149" t="n"/>
      <c r="F78" s="149" t="n"/>
      <c r="G78" s="149" t="n"/>
      <c r="H78" s="149" t="n"/>
      <c r="I78" s="149" t="n"/>
      <c r="J78" s="149" t="n"/>
      <c r="K78" s="149" t="n"/>
      <c r="L78" s="149" t="n"/>
      <c r="M78" s="149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122" t="inlineStr">
        <is>
          <t>进项税</t>
        </is>
      </c>
      <c r="B79" s="47" t="inlineStr">
        <is>
          <t>9.00%</t>
        </is>
      </c>
      <c r="C79" s="151">
        <f>ROUND($B79*C78,2)</f>
        <v/>
      </c>
      <c r="D79" s="151">
        <f>ROUND($B79*D78,2)</f>
        <v/>
      </c>
      <c r="E79" s="151">
        <f>ROUND($B79*E78,2)</f>
        <v/>
      </c>
      <c r="F79" s="151">
        <f>ROUND($B79*F78,2)</f>
        <v/>
      </c>
      <c r="G79" s="151">
        <f>ROUND($B79*G78,2)</f>
        <v/>
      </c>
      <c r="H79" s="151">
        <f>ROUND($B79*H78,2)</f>
        <v/>
      </c>
      <c r="I79" s="151">
        <f>ROUND($B79*I78,2)</f>
        <v/>
      </c>
      <c r="J79" s="151">
        <f>ROUND($B79*J78,2)</f>
        <v/>
      </c>
      <c r="K79" s="151">
        <f>ROUND($B79*K78,2)</f>
        <v/>
      </c>
      <c r="L79" s="151">
        <f>ROUND($B79*L78,2)</f>
        <v/>
      </c>
      <c r="M79" s="151">
        <f>ROUND($B79*M78,2)</f>
        <v/>
      </c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122" t="inlineStr">
        <is>
          <t>金额</t>
        </is>
      </c>
      <c r="B80" s="47" t="n"/>
      <c r="C80" s="149" t="n"/>
      <c r="D80" s="149" t="n"/>
      <c r="E80" s="149" t="n"/>
      <c r="F80" s="149" t="n"/>
      <c r="G80" s="149" t="n"/>
      <c r="H80" s="149" t="n"/>
      <c r="I80" s="149" t="n"/>
      <c r="J80" s="149" t="n"/>
      <c r="K80" s="149" t="n"/>
      <c r="L80" s="149" t="n"/>
      <c r="M80" s="149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122" t="inlineStr">
        <is>
          <t>进项税</t>
        </is>
      </c>
      <c r="B81" s="47" t="inlineStr">
        <is>
          <t>6.00%</t>
        </is>
      </c>
      <c r="C81" s="151">
        <f>ROUND($B81*C80,2)</f>
        <v/>
      </c>
      <c r="D81" s="151">
        <f>ROUND($B81*D80,2)</f>
        <v/>
      </c>
      <c r="E81" s="151">
        <f>ROUND($B81*E80,2)</f>
        <v/>
      </c>
      <c r="F81" s="151">
        <f>ROUND($B81*F80,2)</f>
        <v/>
      </c>
      <c r="G81" s="151">
        <f>ROUND($B81*G80,2)</f>
        <v/>
      </c>
      <c r="H81" s="151">
        <f>ROUND($B81*H80,2)</f>
        <v/>
      </c>
      <c r="I81" s="151">
        <f>ROUND($B81*I80,2)</f>
        <v/>
      </c>
      <c r="J81" s="151">
        <f>ROUND($B81*J80,2)</f>
        <v/>
      </c>
      <c r="K81" s="151">
        <f>ROUND($B81*K80,2)</f>
        <v/>
      </c>
      <c r="L81" s="151">
        <f>ROUND($B81*L80,2)</f>
        <v/>
      </c>
      <c r="M81" s="151">
        <f>ROUND($B81*M80,2)</f>
        <v/>
      </c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122" t="inlineStr">
        <is>
          <t>金额</t>
        </is>
      </c>
      <c r="B82" s="47" t="n"/>
      <c r="C82" s="149" t="n"/>
      <c r="D82" s="149" t="n"/>
      <c r="E82" s="149" t="n"/>
      <c r="F82" s="149" t="n"/>
      <c r="G82" s="149" t="n"/>
      <c r="H82" s="149" t="n"/>
      <c r="I82" s="149" t="n"/>
      <c r="J82" s="149" t="n"/>
      <c r="K82" s="149" t="n"/>
      <c r="L82" s="149" t="n"/>
      <c r="M82" s="149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122" t="inlineStr">
        <is>
          <t>进项税</t>
        </is>
      </c>
      <c r="B83" s="12" t="n"/>
      <c r="C83" s="151">
        <f>ROUND($B83*C82,2)</f>
        <v/>
      </c>
      <c r="D83" s="151">
        <f>ROUND($B83*D82,2)</f>
        <v/>
      </c>
      <c r="E83" s="151">
        <f>ROUND($B83*E82,2)</f>
        <v/>
      </c>
      <c r="F83" s="151">
        <f>ROUND($B83*F82,2)</f>
        <v/>
      </c>
      <c r="G83" s="151">
        <f>ROUND($B83*G82,2)</f>
        <v/>
      </c>
      <c r="H83" s="151">
        <f>ROUND($B83*H82,2)</f>
        <v/>
      </c>
      <c r="I83" s="151">
        <f>ROUND($B83*I82,2)</f>
        <v/>
      </c>
      <c r="J83" s="151">
        <f>ROUND($B83*J82,2)</f>
        <v/>
      </c>
      <c r="K83" s="151">
        <f>ROUND($B83*K82,2)</f>
        <v/>
      </c>
      <c r="L83" s="151">
        <f>ROUND($B83*L82,2)</f>
        <v/>
      </c>
      <c r="M83" s="151">
        <f>ROUND($B83*M82,2)</f>
        <v/>
      </c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 hidden="1">
      <c r="A84" s="122" t="inlineStr">
        <is>
          <t>金额</t>
        </is>
      </c>
      <c r="B84" s="47" t="n"/>
      <c r="C84" s="149" t="n"/>
      <c r="D84" s="149" t="n"/>
      <c r="E84" s="149" t="n"/>
      <c r="F84" s="149" t="n"/>
      <c r="G84" s="149" t="n"/>
      <c r="H84" s="149" t="n"/>
      <c r="I84" s="149" t="n"/>
      <c r="J84" s="149" t="n"/>
      <c r="K84" s="149" t="n"/>
      <c r="L84" s="149" t="n"/>
      <c r="M84" s="149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 hidden="1">
      <c r="A85" s="122" t="inlineStr">
        <is>
          <t>进项税</t>
        </is>
      </c>
      <c r="B85" s="12" t="n"/>
      <c r="C85" s="151">
        <f>ROUND($B85*C84,2)</f>
        <v/>
      </c>
      <c r="D85" s="151">
        <f>ROUND($B85*D84,2)</f>
        <v/>
      </c>
      <c r="E85" s="151">
        <f>ROUND($B85*E84,2)</f>
        <v/>
      </c>
      <c r="F85" s="151">
        <f>ROUND($B85*F84,2)</f>
        <v/>
      </c>
      <c r="G85" s="151">
        <f>ROUND($B85*G84,2)</f>
        <v/>
      </c>
      <c r="H85" s="151">
        <f>ROUND($B85*H84,2)</f>
        <v/>
      </c>
      <c r="I85" s="151">
        <f>ROUND($B85*I84,2)</f>
        <v/>
      </c>
      <c r="J85" s="151">
        <f>ROUND($B85*J84,2)</f>
        <v/>
      </c>
      <c r="K85" s="151">
        <f>ROUND($B85*K84,2)</f>
        <v/>
      </c>
      <c r="L85" s="151">
        <f>ROUND($B85*L84,2)</f>
        <v/>
      </c>
      <c r="M85" s="151">
        <f>ROUND($B85*M84,2)</f>
        <v/>
      </c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 hidden="1">
      <c r="A86" s="122" t="inlineStr">
        <is>
          <t>金额</t>
        </is>
      </c>
      <c r="B86" s="47" t="n"/>
      <c r="C86" s="149" t="n"/>
      <c r="D86" s="149" t="n"/>
      <c r="E86" s="149" t="n"/>
      <c r="F86" s="149" t="n"/>
      <c r="G86" s="149" t="n"/>
      <c r="H86" s="149" t="n"/>
      <c r="I86" s="149" t="n"/>
      <c r="J86" s="149" t="n"/>
      <c r="K86" s="149" t="n"/>
      <c r="L86" s="149" t="n"/>
      <c r="M86" s="149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 hidden="1">
      <c r="A87" s="122" t="inlineStr">
        <is>
          <t>进项税</t>
        </is>
      </c>
      <c r="B87" s="12" t="n"/>
      <c r="C87" s="151">
        <f>ROUND($B87*C86,2)</f>
        <v/>
      </c>
      <c r="D87" s="151">
        <f>ROUND($B87*D86,2)</f>
        <v/>
      </c>
      <c r="E87" s="151">
        <f>ROUND($B87*E86,2)</f>
        <v/>
      </c>
      <c r="F87" s="151">
        <f>ROUND($B87*F86,2)</f>
        <v/>
      </c>
      <c r="G87" s="151">
        <f>ROUND($B87*G86,2)</f>
        <v/>
      </c>
      <c r="H87" s="151">
        <f>ROUND($B87*H86,2)</f>
        <v/>
      </c>
      <c r="I87" s="151">
        <f>ROUND($B87*I86,2)</f>
        <v/>
      </c>
      <c r="J87" s="151">
        <f>ROUND($B87*J86,2)</f>
        <v/>
      </c>
      <c r="K87" s="151">
        <f>ROUND($B87*K86,2)</f>
        <v/>
      </c>
      <c r="L87" s="151">
        <f>ROUND($B87*L86,2)</f>
        <v/>
      </c>
      <c r="M87" s="151">
        <f>ROUND($B87*M86,2)</f>
        <v/>
      </c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 hidden="1">
      <c r="A88" s="122" t="inlineStr">
        <is>
          <t>金额</t>
        </is>
      </c>
      <c r="B88" s="47" t="n"/>
      <c r="C88" s="149" t="n"/>
      <c r="D88" s="149" t="n"/>
      <c r="E88" s="149" t="n"/>
      <c r="F88" s="149" t="n"/>
      <c r="G88" s="149" t="n"/>
      <c r="H88" s="149" t="n"/>
      <c r="I88" s="149" t="n"/>
      <c r="J88" s="149" t="n"/>
      <c r="K88" s="149" t="n"/>
      <c r="L88" s="149" t="n"/>
      <c r="M88" s="149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 hidden="1">
      <c r="A89" s="122" t="inlineStr">
        <is>
          <t>进项税</t>
        </is>
      </c>
      <c r="B89" s="12" t="n"/>
      <c r="C89" s="151">
        <f>ROUND($B89*C88,2)</f>
        <v/>
      </c>
      <c r="D89" s="151">
        <f>ROUND($B89*D88,2)</f>
        <v/>
      </c>
      <c r="E89" s="151">
        <f>ROUND($B89*E88,2)</f>
        <v/>
      </c>
      <c r="F89" s="151">
        <f>ROUND($B89*F88,2)</f>
        <v/>
      </c>
      <c r="G89" s="151">
        <f>ROUND($B89*G88,2)</f>
        <v/>
      </c>
      <c r="H89" s="151">
        <f>ROUND($B89*H88,2)</f>
        <v/>
      </c>
      <c r="I89" s="151">
        <f>ROUND($B89*I88,2)</f>
        <v/>
      </c>
      <c r="J89" s="151">
        <f>ROUND($B89*J88,2)</f>
        <v/>
      </c>
      <c r="K89" s="151">
        <f>ROUND($B89*K88,2)</f>
        <v/>
      </c>
      <c r="L89" s="151">
        <f>ROUND($B89*L88,2)</f>
        <v/>
      </c>
      <c r="M89" s="151">
        <f>ROUND($B89*M88,2)</f>
        <v/>
      </c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 hidden="1">
      <c r="A90" s="122" t="inlineStr">
        <is>
          <t>金额</t>
        </is>
      </c>
      <c r="B90" s="47" t="n"/>
      <c r="C90" s="149" t="n"/>
      <c r="D90" s="149" t="n"/>
      <c r="E90" s="149" t="n"/>
      <c r="F90" s="149" t="n"/>
      <c r="G90" s="149" t="n"/>
      <c r="H90" s="149" t="n"/>
      <c r="I90" s="149" t="n"/>
      <c r="J90" s="149" t="n"/>
      <c r="K90" s="149" t="n"/>
      <c r="L90" s="149" t="n"/>
      <c r="M90" s="149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 hidden="1">
      <c r="A91" s="122" t="inlineStr">
        <is>
          <t>进项税</t>
        </is>
      </c>
      <c r="B91" s="12" t="n"/>
      <c r="C91" s="151">
        <f>ROUND($B91*C90,2)</f>
        <v/>
      </c>
      <c r="D91" s="151">
        <f>ROUND($B91*D90,2)</f>
        <v/>
      </c>
      <c r="E91" s="151">
        <f>ROUND($B91*E90,2)</f>
        <v/>
      </c>
      <c r="F91" s="151">
        <f>ROUND($B91*F90,2)</f>
        <v/>
      </c>
      <c r="G91" s="151">
        <f>ROUND($B91*G90,2)</f>
        <v/>
      </c>
      <c r="H91" s="151">
        <f>ROUND($B91*H90,2)</f>
        <v/>
      </c>
      <c r="I91" s="151">
        <f>ROUND($B91*I90,2)</f>
        <v/>
      </c>
      <c r="J91" s="151">
        <f>ROUND($B91*J90,2)</f>
        <v/>
      </c>
      <c r="K91" s="151">
        <f>ROUND($B91*K90,2)</f>
        <v/>
      </c>
      <c r="L91" s="151">
        <f>ROUND($B91*L90,2)</f>
        <v/>
      </c>
      <c r="M91" s="151">
        <f>ROUND($B91*M90,2)</f>
        <v/>
      </c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136" t="inlineStr">
        <is>
          <t>销售费用：</t>
        </is>
      </c>
      <c r="B92" s="46" t="n"/>
      <c r="C92" s="148" t="n"/>
      <c r="D92" s="148" t="n"/>
      <c r="E92" s="148" t="n"/>
      <c r="F92" s="148" t="n"/>
      <c r="G92" s="148" t="n"/>
      <c r="H92" s="148" t="n"/>
      <c r="I92" s="148" t="n"/>
      <c r="J92" s="148" t="n"/>
      <c r="K92" s="148" t="n"/>
      <c r="L92" s="148" t="n"/>
      <c r="M92" s="148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122" t="inlineStr">
        <is>
          <t>金额</t>
        </is>
      </c>
      <c r="B93" s="47" t="n"/>
      <c r="C93" s="149" t="n"/>
      <c r="D93" s="149" t="n"/>
      <c r="E93" s="149" t="n"/>
      <c r="F93" s="149" t="n"/>
      <c r="G93" s="149" t="n"/>
      <c r="H93" s="149" t="n"/>
      <c r="I93" s="149" t="n"/>
      <c r="J93" s="149" t="n"/>
      <c r="K93" s="149" t="n"/>
      <c r="L93" s="149" t="n"/>
      <c r="M93" s="149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122" t="inlineStr">
        <is>
          <t>进项税</t>
        </is>
      </c>
      <c r="B94" s="47" t="inlineStr">
        <is>
          <t>13.00%</t>
        </is>
      </c>
      <c r="C94" s="151">
        <f>ROUND($B94*C93,2)</f>
        <v/>
      </c>
      <c r="D94" s="151">
        <f>ROUND($B94*D93,2)</f>
        <v/>
      </c>
      <c r="E94" s="151">
        <f>ROUND($B94*E93,2)</f>
        <v/>
      </c>
      <c r="F94" s="151">
        <f>ROUND($B94*F93,2)</f>
        <v/>
      </c>
      <c r="G94" s="151">
        <f>ROUND($B94*G93,2)</f>
        <v/>
      </c>
      <c r="H94" s="151">
        <f>ROUND($B94*H93,2)</f>
        <v/>
      </c>
      <c r="I94" s="151">
        <f>ROUND($B94*I93,2)</f>
        <v/>
      </c>
      <c r="J94" s="151">
        <f>ROUND($B94*J93,2)</f>
        <v/>
      </c>
      <c r="K94" s="151">
        <f>ROUND($B94*K93,2)</f>
        <v/>
      </c>
      <c r="L94" s="151">
        <f>ROUND($B94*L93,2)</f>
        <v/>
      </c>
      <c r="M94" s="151">
        <f>ROUND($B94*M93,2)</f>
        <v/>
      </c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122" t="inlineStr">
        <is>
          <t>金额</t>
        </is>
      </c>
      <c r="B95" s="47" t="n"/>
      <c r="C95" s="149" t="n"/>
      <c r="D95" s="149" t="n"/>
      <c r="E95" s="149" t="n"/>
      <c r="F95" s="149" t="n"/>
      <c r="G95" s="149" t="n"/>
      <c r="H95" s="149" t="n"/>
      <c r="I95" s="149" t="n"/>
      <c r="J95" s="149" t="n"/>
      <c r="K95" s="149" t="n"/>
      <c r="L95" s="149" t="n"/>
      <c r="M95" s="149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122" t="inlineStr">
        <is>
          <t>进项税</t>
        </is>
      </c>
      <c r="B96" s="47" t="inlineStr">
        <is>
          <t>9.00%</t>
        </is>
      </c>
      <c r="C96" s="151">
        <f>ROUND($B96*C95,2)</f>
        <v/>
      </c>
      <c r="D96" s="151">
        <f>ROUND($B96*D95,2)</f>
        <v/>
      </c>
      <c r="E96" s="151">
        <f>ROUND($B96*E95,2)</f>
        <v/>
      </c>
      <c r="F96" s="151">
        <f>ROUND($B96*F95,2)</f>
        <v/>
      </c>
      <c r="G96" s="151">
        <f>ROUND($B96*G95,2)</f>
        <v/>
      </c>
      <c r="H96" s="151">
        <f>ROUND($B96*H95,2)</f>
        <v/>
      </c>
      <c r="I96" s="151">
        <f>ROUND($B96*I95,2)</f>
        <v/>
      </c>
      <c r="J96" s="151">
        <f>ROUND($B96*J95,2)</f>
        <v/>
      </c>
      <c r="K96" s="151">
        <f>ROUND($B96*K95,2)</f>
        <v/>
      </c>
      <c r="L96" s="151">
        <f>ROUND($B96*L95,2)</f>
        <v/>
      </c>
      <c r="M96" s="151">
        <f>ROUND($B96*M95,2)</f>
        <v/>
      </c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122" t="inlineStr">
        <is>
          <t>金额</t>
        </is>
      </c>
      <c r="B97" s="47" t="n"/>
      <c r="C97" s="149" t="n"/>
      <c r="D97" s="149" t="n"/>
      <c r="E97" s="149" t="n"/>
      <c r="F97" s="149" t="n"/>
      <c r="G97" s="149" t="n"/>
      <c r="H97" s="149" t="n"/>
      <c r="I97" s="149" t="n"/>
      <c r="J97" s="149" t="n"/>
      <c r="K97" s="149" t="n"/>
      <c r="L97" s="149" t="n"/>
      <c r="M97" s="149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122" t="inlineStr">
        <is>
          <t>进项税</t>
        </is>
      </c>
      <c r="B98" s="47" t="inlineStr">
        <is>
          <t>6.00%</t>
        </is>
      </c>
      <c r="C98" s="151">
        <f>ROUND($B98*C97,2)</f>
        <v/>
      </c>
      <c r="D98" s="151">
        <f>ROUND($B98*D97,2)</f>
        <v/>
      </c>
      <c r="E98" s="151">
        <f>ROUND($B98*E97,2)</f>
        <v/>
      </c>
      <c r="F98" s="151">
        <f>ROUND($B98*F97,2)</f>
        <v/>
      </c>
      <c r="G98" s="151">
        <f>ROUND($B98*G97,2)</f>
        <v/>
      </c>
      <c r="H98" s="151">
        <f>ROUND($B98*H97,2)</f>
        <v/>
      </c>
      <c r="I98" s="151">
        <f>ROUND($B98*I97,2)</f>
        <v/>
      </c>
      <c r="J98" s="151">
        <f>ROUND($B98*J97,2)</f>
        <v/>
      </c>
      <c r="K98" s="151">
        <f>ROUND($B98*K97,2)</f>
        <v/>
      </c>
      <c r="L98" s="151">
        <f>ROUND($B98*L97,2)</f>
        <v/>
      </c>
      <c r="M98" s="151">
        <f>ROUND($B98*M97,2)</f>
        <v/>
      </c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122" t="inlineStr">
        <is>
          <t>金额</t>
        </is>
      </c>
      <c r="B99" s="47" t="n"/>
      <c r="C99" s="149" t="n"/>
      <c r="D99" s="149" t="n"/>
      <c r="E99" s="149" t="n"/>
      <c r="F99" s="149" t="n"/>
      <c r="G99" s="149" t="n"/>
      <c r="H99" s="149" t="n"/>
      <c r="I99" s="149" t="n"/>
      <c r="J99" s="149" t="n"/>
      <c r="K99" s="149" t="n"/>
      <c r="L99" s="149" t="n"/>
      <c r="M99" s="149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122" t="inlineStr">
        <is>
          <t>进项税</t>
        </is>
      </c>
      <c r="B100" s="12" t="n"/>
      <c r="C100" s="151">
        <f>ROUND($B100*C99,2)</f>
        <v/>
      </c>
      <c r="D100" s="151">
        <f>ROUND($B100*D99,2)</f>
        <v/>
      </c>
      <c r="E100" s="151">
        <f>ROUND($B100*E99,2)</f>
        <v/>
      </c>
      <c r="F100" s="151">
        <f>ROUND($B100*F99,2)</f>
        <v/>
      </c>
      <c r="G100" s="151">
        <f>ROUND($B100*G99,2)</f>
        <v/>
      </c>
      <c r="H100" s="151">
        <f>ROUND($B100*H99,2)</f>
        <v/>
      </c>
      <c r="I100" s="151">
        <f>ROUND($B100*I99,2)</f>
        <v/>
      </c>
      <c r="J100" s="151">
        <f>ROUND($B100*J99,2)</f>
        <v/>
      </c>
      <c r="K100" s="151">
        <f>ROUND($B100*K99,2)</f>
        <v/>
      </c>
      <c r="L100" s="151">
        <f>ROUND($B100*L99,2)</f>
        <v/>
      </c>
      <c r="M100" s="151">
        <f>ROUND($B100*M99,2)</f>
        <v/>
      </c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 hidden="1">
      <c r="A101" s="122" t="inlineStr">
        <is>
          <t>金额</t>
        </is>
      </c>
      <c r="B101" s="47" t="n"/>
      <c r="C101" s="149" t="n"/>
      <c r="D101" s="149" t="n"/>
      <c r="E101" s="149" t="n"/>
      <c r="F101" s="149" t="n"/>
      <c r="G101" s="149" t="n"/>
      <c r="H101" s="149" t="n"/>
      <c r="I101" s="149" t="n"/>
      <c r="J101" s="149" t="n"/>
      <c r="K101" s="149" t="n"/>
      <c r="L101" s="149" t="n"/>
      <c r="M101" s="149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 hidden="1">
      <c r="A102" s="122" t="inlineStr">
        <is>
          <t>进项税</t>
        </is>
      </c>
      <c r="B102" s="12" t="n"/>
      <c r="C102" s="151">
        <f>ROUND($B102*C101,2)</f>
        <v/>
      </c>
      <c r="D102" s="151">
        <f>ROUND($B102*D101,2)</f>
        <v/>
      </c>
      <c r="E102" s="151">
        <f>ROUND($B102*E101,2)</f>
        <v/>
      </c>
      <c r="F102" s="151">
        <f>ROUND($B102*F101,2)</f>
        <v/>
      </c>
      <c r="G102" s="151">
        <f>ROUND($B102*G101,2)</f>
        <v/>
      </c>
      <c r="H102" s="151">
        <f>ROUND($B102*H101,2)</f>
        <v/>
      </c>
      <c r="I102" s="151">
        <f>ROUND($B102*I101,2)</f>
        <v/>
      </c>
      <c r="J102" s="151">
        <f>ROUND($B102*J101,2)</f>
        <v/>
      </c>
      <c r="K102" s="151">
        <f>ROUND($B102*K101,2)</f>
        <v/>
      </c>
      <c r="L102" s="151">
        <f>ROUND($B102*L101,2)</f>
        <v/>
      </c>
      <c r="M102" s="151">
        <f>ROUND($B102*M101,2)</f>
        <v/>
      </c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 hidden="1">
      <c r="A103" s="122" t="inlineStr">
        <is>
          <t>金额</t>
        </is>
      </c>
      <c r="B103" s="47" t="n"/>
      <c r="C103" s="149" t="n"/>
      <c r="D103" s="149" t="n"/>
      <c r="E103" s="149" t="n"/>
      <c r="F103" s="149" t="n"/>
      <c r="G103" s="149" t="n"/>
      <c r="H103" s="149" t="n"/>
      <c r="I103" s="149" t="n"/>
      <c r="J103" s="149" t="n"/>
      <c r="K103" s="149" t="n"/>
      <c r="L103" s="149" t="n"/>
      <c r="M103" s="149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 hidden="1">
      <c r="A104" s="122" t="inlineStr">
        <is>
          <t>进项税</t>
        </is>
      </c>
      <c r="B104" s="12" t="n"/>
      <c r="C104" s="151">
        <f>ROUND($B104*C103,2)</f>
        <v/>
      </c>
      <c r="D104" s="151">
        <f>ROUND($B104*D103,2)</f>
        <v/>
      </c>
      <c r="E104" s="151">
        <f>ROUND($B104*E103,2)</f>
        <v/>
      </c>
      <c r="F104" s="151">
        <f>ROUND($B104*F103,2)</f>
        <v/>
      </c>
      <c r="G104" s="151">
        <f>ROUND($B104*G103,2)</f>
        <v/>
      </c>
      <c r="H104" s="151">
        <f>ROUND($B104*H103,2)</f>
        <v/>
      </c>
      <c r="I104" s="151">
        <f>ROUND($B104*I103,2)</f>
        <v/>
      </c>
      <c r="J104" s="151">
        <f>ROUND($B104*J103,2)</f>
        <v/>
      </c>
      <c r="K104" s="151">
        <f>ROUND($B104*K103,2)</f>
        <v/>
      </c>
      <c r="L104" s="151">
        <f>ROUND($B104*L103,2)</f>
        <v/>
      </c>
      <c r="M104" s="151">
        <f>ROUND($B104*M103,2)</f>
        <v/>
      </c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 hidden="1">
      <c r="A105" s="122" t="inlineStr">
        <is>
          <t>金额</t>
        </is>
      </c>
      <c r="B105" s="47" t="n"/>
      <c r="C105" s="149" t="n"/>
      <c r="D105" s="149" t="n"/>
      <c r="E105" s="149" t="n"/>
      <c r="F105" s="149" t="n"/>
      <c r="G105" s="149" t="n"/>
      <c r="H105" s="149" t="n"/>
      <c r="I105" s="149" t="n"/>
      <c r="J105" s="149" t="n"/>
      <c r="K105" s="149" t="n"/>
      <c r="L105" s="149" t="n"/>
      <c r="M105" s="149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 hidden="1">
      <c r="A106" s="122" t="inlineStr">
        <is>
          <t>进项税</t>
        </is>
      </c>
      <c r="B106" s="12" t="n"/>
      <c r="C106" s="151">
        <f>ROUND($B106*C105,2)</f>
        <v/>
      </c>
      <c r="D106" s="151">
        <f>ROUND($B106*D105,2)</f>
        <v/>
      </c>
      <c r="E106" s="151">
        <f>ROUND($B106*E105,2)</f>
        <v/>
      </c>
      <c r="F106" s="151">
        <f>ROUND($B106*F105,2)</f>
        <v/>
      </c>
      <c r="G106" s="151">
        <f>ROUND($B106*G105,2)</f>
        <v/>
      </c>
      <c r="H106" s="151">
        <f>ROUND($B106*H105,2)</f>
        <v/>
      </c>
      <c r="I106" s="151">
        <f>ROUND($B106*I105,2)</f>
        <v/>
      </c>
      <c r="J106" s="151">
        <f>ROUND($B106*J105,2)</f>
        <v/>
      </c>
      <c r="K106" s="151">
        <f>ROUND($B106*K105,2)</f>
        <v/>
      </c>
      <c r="L106" s="151">
        <f>ROUND($B106*L105,2)</f>
        <v/>
      </c>
      <c r="M106" s="151">
        <f>ROUND($B106*M105,2)</f>
        <v/>
      </c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 hidden="1">
      <c r="A107" s="122" t="inlineStr">
        <is>
          <t>金额</t>
        </is>
      </c>
      <c r="B107" s="47" t="n"/>
      <c r="C107" s="149" t="n"/>
      <c r="D107" s="149" t="n"/>
      <c r="E107" s="149" t="n"/>
      <c r="F107" s="149" t="n"/>
      <c r="G107" s="149" t="n"/>
      <c r="H107" s="149" t="n"/>
      <c r="I107" s="149" t="n"/>
      <c r="J107" s="149" t="n"/>
      <c r="K107" s="149" t="n"/>
      <c r="L107" s="149" t="n"/>
      <c r="M107" s="149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 hidden="1">
      <c r="A108" s="122" t="inlineStr">
        <is>
          <t>进项税</t>
        </is>
      </c>
      <c r="B108" s="12" t="n"/>
      <c r="C108" s="151">
        <f>ROUND($B108*C107,2)</f>
        <v/>
      </c>
      <c r="D108" s="151">
        <f>ROUND($B108*D107,2)</f>
        <v/>
      </c>
      <c r="E108" s="151">
        <f>ROUND($B108*E107,2)</f>
        <v/>
      </c>
      <c r="F108" s="151">
        <f>ROUND($B108*F107,2)</f>
        <v/>
      </c>
      <c r="G108" s="151">
        <f>ROUND($B108*G107,2)</f>
        <v/>
      </c>
      <c r="H108" s="151">
        <f>ROUND($B108*H107,2)</f>
        <v/>
      </c>
      <c r="I108" s="151">
        <f>ROUND($B108*I107,2)</f>
        <v/>
      </c>
      <c r="J108" s="151">
        <f>ROUND($B108*J107,2)</f>
        <v/>
      </c>
      <c r="K108" s="151">
        <f>ROUND($B108*K107,2)</f>
        <v/>
      </c>
      <c r="L108" s="151">
        <f>ROUND($B108*L107,2)</f>
        <v/>
      </c>
      <c r="M108" s="151">
        <f>ROUND($B108*M107,2)</f>
        <v/>
      </c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136" t="inlineStr">
        <is>
          <t>管理费用：</t>
        </is>
      </c>
      <c r="B109" s="46" t="n"/>
      <c r="C109" s="148" t="n"/>
      <c r="D109" s="148" t="n"/>
      <c r="E109" s="148" t="n"/>
      <c r="F109" s="148" t="n"/>
      <c r="G109" s="148" t="n"/>
      <c r="H109" s="148" t="n"/>
      <c r="I109" s="148" t="n"/>
      <c r="J109" s="148" t="n"/>
      <c r="K109" s="148" t="n"/>
      <c r="L109" s="148" t="n"/>
      <c r="M109" s="148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122" t="inlineStr">
        <is>
          <t>金额</t>
        </is>
      </c>
      <c r="B110" s="47" t="n"/>
      <c r="C110" s="149" t="n"/>
      <c r="D110" s="149" t="n"/>
      <c r="E110" s="149" t="n"/>
      <c r="F110" s="149" t="n"/>
      <c r="G110" s="149" t="n"/>
      <c r="H110" s="149" t="n"/>
      <c r="I110" s="149" t="n"/>
      <c r="J110" s="149" t="n"/>
      <c r="K110" s="149" t="n"/>
      <c r="L110" s="149" t="n"/>
      <c r="M110" s="149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122" t="inlineStr">
        <is>
          <t>进项税</t>
        </is>
      </c>
      <c r="B111" s="47" t="inlineStr">
        <is>
          <t>13.00%</t>
        </is>
      </c>
      <c r="C111" s="151">
        <f>ROUND($B111*C110,2)</f>
        <v/>
      </c>
      <c r="D111" s="151">
        <f>ROUND($B111*D110,2)</f>
        <v/>
      </c>
      <c r="E111" s="151">
        <f>ROUND($B111*E110,2)</f>
        <v/>
      </c>
      <c r="F111" s="151">
        <f>ROUND($B111*F110,2)</f>
        <v/>
      </c>
      <c r="G111" s="151">
        <f>ROUND($B111*G110,2)</f>
        <v/>
      </c>
      <c r="H111" s="151">
        <f>ROUND($B111*H110,2)</f>
        <v/>
      </c>
      <c r="I111" s="151">
        <f>ROUND($B111*I110,2)</f>
        <v/>
      </c>
      <c r="J111" s="151">
        <f>ROUND($B111*J110,2)</f>
        <v/>
      </c>
      <c r="K111" s="151">
        <f>ROUND($B111*K110,2)</f>
        <v/>
      </c>
      <c r="L111" s="151">
        <f>ROUND($B111*L110,2)</f>
        <v/>
      </c>
      <c r="M111" s="151">
        <f>ROUND($B111*M110,2)</f>
        <v/>
      </c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122" t="inlineStr">
        <is>
          <t>金额</t>
        </is>
      </c>
      <c r="B112" s="47" t="n"/>
      <c r="C112" s="149" t="n"/>
      <c r="D112" s="149" t="n"/>
      <c r="E112" s="149" t="n"/>
      <c r="F112" s="149" t="n"/>
      <c r="G112" s="149" t="n"/>
      <c r="H112" s="149" t="n"/>
      <c r="I112" s="149" t="n"/>
      <c r="J112" s="149" t="n"/>
      <c r="K112" s="149" t="n"/>
      <c r="L112" s="149" t="n"/>
      <c r="M112" s="149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122" t="inlineStr">
        <is>
          <t>进项税</t>
        </is>
      </c>
      <c r="B113" s="47" t="inlineStr">
        <is>
          <t>9.00%</t>
        </is>
      </c>
      <c r="C113" s="151">
        <f>ROUND($B113*C112,2)</f>
        <v/>
      </c>
      <c r="D113" s="151">
        <f>ROUND($B113*D112,2)</f>
        <v/>
      </c>
      <c r="E113" s="151">
        <f>ROUND($B113*E112,2)</f>
        <v/>
      </c>
      <c r="F113" s="151">
        <f>ROUND($B113*F112,2)</f>
        <v/>
      </c>
      <c r="G113" s="151">
        <f>ROUND($B113*G112,2)</f>
        <v/>
      </c>
      <c r="H113" s="151">
        <f>ROUND($B113*H112,2)</f>
        <v/>
      </c>
      <c r="I113" s="151">
        <f>ROUND($B113*I112,2)</f>
        <v/>
      </c>
      <c r="J113" s="151">
        <f>ROUND($B113*J112,2)</f>
        <v/>
      </c>
      <c r="K113" s="151">
        <f>ROUND($B113*K112,2)</f>
        <v/>
      </c>
      <c r="L113" s="151">
        <f>ROUND($B113*L112,2)</f>
        <v/>
      </c>
      <c r="M113" s="151">
        <f>ROUND($B113*M112,2)</f>
        <v/>
      </c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122" t="inlineStr">
        <is>
          <t>金额</t>
        </is>
      </c>
      <c r="B114" s="47" t="n"/>
      <c r="C114" s="149" t="n"/>
      <c r="D114" s="149" t="n"/>
      <c r="E114" s="149" t="n"/>
      <c r="F114" s="149" t="n"/>
      <c r="G114" s="149" t="n"/>
      <c r="H114" s="149" t="n"/>
      <c r="I114" s="149" t="n"/>
      <c r="J114" s="149" t="n"/>
      <c r="K114" s="149" t="n"/>
      <c r="L114" s="149" t="n"/>
      <c r="M114" s="149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122" t="inlineStr">
        <is>
          <t>进项税</t>
        </is>
      </c>
      <c r="B115" s="47" t="inlineStr">
        <is>
          <t>6.00%</t>
        </is>
      </c>
      <c r="C115" s="151">
        <f>ROUND($B115*C114,2)</f>
        <v/>
      </c>
      <c r="D115" s="151">
        <f>ROUND($B115*D114,2)</f>
        <v/>
      </c>
      <c r="E115" s="151">
        <f>ROUND($B115*E114,2)</f>
        <v/>
      </c>
      <c r="F115" s="151">
        <f>ROUND($B115*F114,2)</f>
        <v/>
      </c>
      <c r="G115" s="151">
        <f>ROUND($B115*G114,2)</f>
        <v/>
      </c>
      <c r="H115" s="151">
        <f>ROUND($B115*H114,2)</f>
        <v/>
      </c>
      <c r="I115" s="151">
        <f>ROUND($B115*I114,2)</f>
        <v/>
      </c>
      <c r="J115" s="151">
        <f>ROUND($B115*J114,2)</f>
        <v/>
      </c>
      <c r="K115" s="151">
        <f>ROUND($B115*K114,2)</f>
        <v/>
      </c>
      <c r="L115" s="151">
        <f>ROUND($B115*L114,2)</f>
        <v/>
      </c>
      <c r="M115" s="151">
        <f>ROUND($B115*M114,2)</f>
        <v/>
      </c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122" t="inlineStr">
        <is>
          <t>金额</t>
        </is>
      </c>
      <c r="B116" s="47" t="n"/>
      <c r="C116" s="149" t="n"/>
      <c r="D116" s="149" t="n"/>
      <c r="E116" s="149" t="n"/>
      <c r="F116" s="149" t="n"/>
      <c r="G116" s="149" t="n"/>
      <c r="H116" s="149" t="n"/>
      <c r="I116" s="149" t="n"/>
      <c r="J116" s="149" t="n"/>
      <c r="K116" s="149" t="n"/>
      <c r="L116" s="149" t="n"/>
      <c r="M116" s="149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122" t="inlineStr">
        <is>
          <t>进项税</t>
        </is>
      </c>
      <c r="B117" s="12" t="n"/>
      <c r="C117" s="151">
        <f>ROUND($B117*C116,2)</f>
        <v/>
      </c>
      <c r="D117" s="151">
        <f>ROUND($B117*D116,2)</f>
        <v/>
      </c>
      <c r="E117" s="151">
        <f>ROUND($B117*E116,2)</f>
        <v/>
      </c>
      <c r="F117" s="151">
        <f>ROUND($B117*F116,2)</f>
        <v/>
      </c>
      <c r="G117" s="151">
        <f>ROUND($B117*G116,2)</f>
        <v/>
      </c>
      <c r="H117" s="151">
        <f>ROUND($B117*H116,2)</f>
        <v/>
      </c>
      <c r="I117" s="151">
        <f>ROUND($B117*I116,2)</f>
        <v/>
      </c>
      <c r="J117" s="151">
        <f>ROUND($B117*J116,2)</f>
        <v/>
      </c>
      <c r="K117" s="151">
        <f>ROUND($B117*K116,2)</f>
        <v/>
      </c>
      <c r="L117" s="151">
        <f>ROUND($B117*L116,2)</f>
        <v/>
      </c>
      <c r="M117" s="151">
        <f>ROUND($B117*M116,2)</f>
        <v/>
      </c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 hidden="1">
      <c r="A118" s="122" t="inlineStr">
        <is>
          <t>金额</t>
        </is>
      </c>
      <c r="B118" s="47" t="n"/>
      <c r="C118" s="149" t="n"/>
      <c r="D118" s="149" t="n"/>
      <c r="E118" s="149" t="n"/>
      <c r="F118" s="149" t="n"/>
      <c r="G118" s="149" t="n"/>
      <c r="H118" s="149" t="n"/>
      <c r="I118" s="149" t="n"/>
      <c r="J118" s="149" t="n"/>
      <c r="K118" s="149" t="n"/>
      <c r="L118" s="149" t="n"/>
      <c r="M118" s="149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 hidden="1">
      <c r="A119" s="122" t="inlineStr">
        <is>
          <t>进项税</t>
        </is>
      </c>
      <c r="B119" s="12" t="n"/>
      <c r="C119" s="151">
        <f>ROUND($B119*C118,2)</f>
        <v/>
      </c>
      <c r="D119" s="151">
        <f>ROUND($B119*D118,2)</f>
        <v/>
      </c>
      <c r="E119" s="151">
        <f>ROUND($B119*E118,2)</f>
        <v/>
      </c>
      <c r="F119" s="151">
        <f>ROUND($B119*F118,2)</f>
        <v/>
      </c>
      <c r="G119" s="151">
        <f>ROUND($B119*G118,2)</f>
        <v/>
      </c>
      <c r="H119" s="151">
        <f>ROUND($B119*H118,2)</f>
        <v/>
      </c>
      <c r="I119" s="151">
        <f>ROUND($B119*I118,2)</f>
        <v/>
      </c>
      <c r="J119" s="151">
        <f>ROUND($B119*J118,2)</f>
        <v/>
      </c>
      <c r="K119" s="151">
        <f>ROUND($B119*K118,2)</f>
        <v/>
      </c>
      <c r="L119" s="151">
        <f>ROUND($B119*L118,2)</f>
        <v/>
      </c>
      <c r="M119" s="151">
        <f>ROUND($B119*M118,2)</f>
        <v/>
      </c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 hidden="1">
      <c r="A120" s="122" t="inlineStr">
        <is>
          <t>金额</t>
        </is>
      </c>
      <c r="B120" s="47" t="n"/>
      <c r="C120" s="149" t="n"/>
      <c r="D120" s="149" t="n"/>
      <c r="E120" s="149" t="n"/>
      <c r="F120" s="149" t="n"/>
      <c r="G120" s="149" t="n"/>
      <c r="H120" s="149" t="n"/>
      <c r="I120" s="149" t="n"/>
      <c r="J120" s="149" t="n"/>
      <c r="K120" s="149" t="n"/>
      <c r="L120" s="149" t="n"/>
      <c r="M120" s="149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 hidden="1">
      <c r="A121" s="122" t="inlineStr">
        <is>
          <t>进项税</t>
        </is>
      </c>
      <c r="B121" s="12" t="n"/>
      <c r="C121" s="151">
        <f>ROUND($B121*C120,2)</f>
        <v/>
      </c>
      <c r="D121" s="151">
        <f>ROUND($B121*D120,2)</f>
        <v/>
      </c>
      <c r="E121" s="151">
        <f>ROUND($B121*E120,2)</f>
        <v/>
      </c>
      <c r="F121" s="151">
        <f>ROUND($B121*F120,2)</f>
        <v/>
      </c>
      <c r="G121" s="151">
        <f>ROUND($B121*G120,2)</f>
        <v/>
      </c>
      <c r="H121" s="151">
        <f>ROUND($B121*H120,2)</f>
        <v/>
      </c>
      <c r="I121" s="151">
        <f>ROUND($B121*I120,2)</f>
        <v/>
      </c>
      <c r="J121" s="151">
        <f>ROUND($B121*J120,2)</f>
        <v/>
      </c>
      <c r="K121" s="151">
        <f>ROUND($B121*K120,2)</f>
        <v/>
      </c>
      <c r="L121" s="151">
        <f>ROUND($B121*L120,2)</f>
        <v/>
      </c>
      <c r="M121" s="151">
        <f>ROUND($B121*M120,2)</f>
        <v/>
      </c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 hidden="1">
      <c r="A122" s="122" t="inlineStr">
        <is>
          <t>金额</t>
        </is>
      </c>
      <c r="B122" s="47" t="n"/>
      <c r="C122" s="149" t="n"/>
      <c r="D122" s="149" t="n"/>
      <c r="E122" s="149" t="n"/>
      <c r="F122" s="149" t="n"/>
      <c r="G122" s="149" t="n"/>
      <c r="H122" s="149" t="n"/>
      <c r="I122" s="149" t="n"/>
      <c r="J122" s="149" t="n"/>
      <c r="K122" s="149" t="n"/>
      <c r="L122" s="149" t="n"/>
      <c r="M122" s="149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 hidden="1">
      <c r="A123" s="122" t="inlineStr">
        <is>
          <t>进项税</t>
        </is>
      </c>
      <c r="B123" s="12" t="n"/>
      <c r="C123" s="151">
        <f>ROUND($B123*C122,2)</f>
        <v/>
      </c>
      <c r="D123" s="151">
        <f>ROUND($B123*D122,2)</f>
        <v/>
      </c>
      <c r="E123" s="151">
        <f>ROUND($B123*E122,2)</f>
        <v/>
      </c>
      <c r="F123" s="151">
        <f>ROUND($B123*F122,2)</f>
        <v/>
      </c>
      <c r="G123" s="151">
        <f>ROUND($B123*G122,2)</f>
        <v/>
      </c>
      <c r="H123" s="151">
        <f>ROUND($B123*H122,2)</f>
        <v/>
      </c>
      <c r="I123" s="151">
        <f>ROUND($B123*I122,2)</f>
        <v/>
      </c>
      <c r="J123" s="151">
        <f>ROUND($B123*J122,2)</f>
        <v/>
      </c>
      <c r="K123" s="151">
        <f>ROUND($B123*K122,2)</f>
        <v/>
      </c>
      <c r="L123" s="151">
        <f>ROUND($B123*L122,2)</f>
        <v/>
      </c>
      <c r="M123" s="151">
        <f>ROUND($B123*M122,2)</f>
        <v/>
      </c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 hidden="1">
      <c r="A124" s="122" t="inlineStr">
        <is>
          <t>金额</t>
        </is>
      </c>
      <c r="B124" s="47" t="n"/>
      <c r="C124" s="149" t="n"/>
      <c r="D124" s="149" t="n"/>
      <c r="E124" s="149" t="n"/>
      <c r="F124" s="149" t="n"/>
      <c r="G124" s="149" t="n"/>
      <c r="H124" s="149" t="n"/>
      <c r="I124" s="149" t="n"/>
      <c r="J124" s="149" t="n"/>
      <c r="K124" s="149" t="n"/>
      <c r="L124" s="149" t="n"/>
      <c r="M124" s="149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 hidden="1">
      <c r="A125" s="122" t="inlineStr">
        <is>
          <t>进项税</t>
        </is>
      </c>
      <c r="B125" s="12" t="n"/>
      <c r="C125" s="151">
        <f>ROUND($B125*C124,2)</f>
        <v/>
      </c>
      <c r="D125" s="151">
        <f>ROUND($B125*D124,2)</f>
        <v/>
      </c>
      <c r="E125" s="151">
        <f>ROUND($B125*E124,2)</f>
        <v/>
      </c>
      <c r="F125" s="151">
        <f>ROUND($B125*F124,2)</f>
        <v/>
      </c>
      <c r="G125" s="151">
        <f>ROUND($B125*G124,2)</f>
        <v/>
      </c>
      <c r="H125" s="151">
        <f>ROUND($B125*H124,2)</f>
        <v/>
      </c>
      <c r="I125" s="151">
        <f>ROUND($B125*I124,2)</f>
        <v/>
      </c>
      <c r="J125" s="151">
        <f>ROUND($B125*J124,2)</f>
        <v/>
      </c>
      <c r="K125" s="151">
        <f>ROUND($B125*K124,2)</f>
        <v/>
      </c>
      <c r="L125" s="151">
        <f>ROUND($B125*L124,2)</f>
        <v/>
      </c>
      <c r="M125" s="151">
        <f>ROUND($B125*M124,2)</f>
        <v/>
      </c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136" t="inlineStr">
        <is>
          <t>研发费用：</t>
        </is>
      </c>
      <c r="B126" s="46" t="n"/>
      <c r="C126" s="148" t="n"/>
      <c r="D126" s="148" t="n"/>
      <c r="E126" s="148" t="n"/>
      <c r="F126" s="148" t="n"/>
      <c r="G126" s="148" t="n"/>
      <c r="H126" s="148" t="n"/>
      <c r="I126" s="148" t="n"/>
      <c r="J126" s="148" t="n"/>
      <c r="K126" s="148" t="n"/>
      <c r="L126" s="148" t="n"/>
      <c r="M126" s="148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122" t="inlineStr">
        <is>
          <t>金额</t>
        </is>
      </c>
      <c r="B127" s="47" t="n"/>
      <c r="C127" s="149" t="n"/>
      <c r="D127" s="149" t="n"/>
      <c r="E127" s="149" t="n"/>
      <c r="F127" s="149" t="n"/>
      <c r="G127" s="149" t="n"/>
      <c r="H127" s="149" t="n"/>
      <c r="I127" s="149" t="n"/>
      <c r="J127" s="149" t="n"/>
      <c r="K127" s="149" t="n"/>
      <c r="L127" s="149" t="n"/>
      <c r="M127" s="149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122" t="inlineStr">
        <is>
          <t>进项税</t>
        </is>
      </c>
      <c r="B128" s="47" t="inlineStr">
        <is>
          <t>13.00%</t>
        </is>
      </c>
      <c r="C128" s="151">
        <f>ROUND($B128*C127,2)</f>
        <v/>
      </c>
      <c r="D128" s="151">
        <f>ROUND($B128*D127,2)</f>
        <v/>
      </c>
      <c r="E128" s="151">
        <f>ROUND($B128*E127,2)</f>
        <v/>
      </c>
      <c r="F128" s="151">
        <f>ROUND($B128*F127,2)</f>
        <v/>
      </c>
      <c r="G128" s="151">
        <f>ROUND($B128*G127,2)</f>
        <v/>
      </c>
      <c r="H128" s="151">
        <f>ROUND($B128*H127,2)</f>
        <v/>
      </c>
      <c r="I128" s="151">
        <f>ROUND($B128*I127,2)</f>
        <v/>
      </c>
      <c r="J128" s="151">
        <f>ROUND($B128*J127,2)</f>
        <v/>
      </c>
      <c r="K128" s="151">
        <f>ROUND($B128*K127,2)</f>
        <v/>
      </c>
      <c r="L128" s="151">
        <f>ROUND($B128*L127,2)</f>
        <v/>
      </c>
      <c r="M128" s="151">
        <f>ROUND($B128*M127,2)</f>
        <v/>
      </c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122" t="inlineStr">
        <is>
          <t>金额</t>
        </is>
      </c>
      <c r="B129" s="47" t="n"/>
      <c r="C129" s="149" t="n"/>
      <c r="D129" s="149" t="n"/>
      <c r="E129" s="149" t="n"/>
      <c r="F129" s="149" t="n"/>
      <c r="G129" s="149" t="n"/>
      <c r="H129" s="149" t="n"/>
      <c r="I129" s="149" t="n"/>
      <c r="J129" s="149" t="n"/>
      <c r="K129" s="149" t="n"/>
      <c r="L129" s="149" t="n"/>
      <c r="M129" s="149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122" t="inlineStr">
        <is>
          <t>进项税</t>
        </is>
      </c>
      <c r="B130" s="47" t="inlineStr">
        <is>
          <t>9.00%</t>
        </is>
      </c>
      <c r="C130" s="151">
        <f>ROUND($B130*C129,2)</f>
        <v/>
      </c>
      <c r="D130" s="151">
        <f>ROUND($B130*D129,2)</f>
        <v/>
      </c>
      <c r="E130" s="151">
        <f>ROUND($B130*E129,2)</f>
        <v/>
      </c>
      <c r="F130" s="151">
        <f>ROUND($B130*F129,2)</f>
        <v/>
      </c>
      <c r="G130" s="151">
        <f>ROUND($B130*G129,2)</f>
        <v/>
      </c>
      <c r="H130" s="151">
        <f>ROUND($B130*H129,2)</f>
        <v/>
      </c>
      <c r="I130" s="151">
        <f>ROUND($B130*I129,2)</f>
        <v/>
      </c>
      <c r="J130" s="151">
        <f>ROUND($B130*J129,2)</f>
        <v/>
      </c>
      <c r="K130" s="151">
        <f>ROUND($B130*K129,2)</f>
        <v/>
      </c>
      <c r="L130" s="151">
        <f>ROUND($B130*L129,2)</f>
        <v/>
      </c>
      <c r="M130" s="151">
        <f>ROUND($B130*M129,2)</f>
        <v/>
      </c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122" t="inlineStr">
        <is>
          <t>金额</t>
        </is>
      </c>
      <c r="B131" s="47" t="n"/>
      <c r="C131" s="149" t="n"/>
      <c r="D131" s="149" t="n"/>
      <c r="E131" s="149" t="n"/>
      <c r="F131" s="149" t="n"/>
      <c r="G131" s="149" t="n"/>
      <c r="H131" s="149" t="n"/>
      <c r="I131" s="149" t="n"/>
      <c r="J131" s="149" t="n"/>
      <c r="K131" s="149" t="n"/>
      <c r="L131" s="149" t="n"/>
      <c r="M131" s="149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122" t="inlineStr">
        <is>
          <t>进项税</t>
        </is>
      </c>
      <c r="B132" s="47" t="inlineStr">
        <is>
          <t>6.00%</t>
        </is>
      </c>
      <c r="C132" s="151">
        <f>ROUND($B132*C131,2)</f>
        <v/>
      </c>
      <c r="D132" s="151">
        <f>ROUND($B132*D131,2)</f>
        <v/>
      </c>
      <c r="E132" s="151">
        <f>ROUND($B132*E131,2)</f>
        <v/>
      </c>
      <c r="F132" s="151">
        <f>ROUND($B132*F131,2)</f>
        <v/>
      </c>
      <c r="G132" s="151">
        <f>ROUND($B132*G131,2)</f>
        <v/>
      </c>
      <c r="H132" s="151">
        <f>ROUND($B132*H131,2)</f>
        <v/>
      </c>
      <c r="I132" s="151">
        <f>ROUND($B132*I131,2)</f>
        <v/>
      </c>
      <c r="J132" s="151">
        <f>ROUND($B132*J131,2)</f>
        <v/>
      </c>
      <c r="K132" s="151">
        <f>ROUND($B132*K131,2)</f>
        <v/>
      </c>
      <c r="L132" s="151">
        <f>ROUND($B132*L131,2)</f>
        <v/>
      </c>
      <c r="M132" s="151">
        <f>ROUND($B132*M131,2)</f>
        <v/>
      </c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122" t="inlineStr">
        <is>
          <t>金额</t>
        </is>
      </c>
      <c r="B133" s="47" t="n"/>
      <c r="C133" s="149" t="n"/>
      <c r="D133" s="149" t="n"/>
      <c r="E133" s="149" t="n"/>
      <c r="F133" s="149" t="n"/>
      <c r="G133" s="149" t="n"/>
      <c r="H133" s="149" t="n"/>
      <c r="I133" s="149" t="n"/>
      <c r="J133" s="149" t="n"/>
      <c r="K133" s="149" t="n"/>
      <c r="L133" s="149" t="n"/>
      <c r="M133" s="149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122" t="inlineStr">
        <is>
          <t>进项税</t>
        </is>
      </c>
      <c r="B134" s="12" t="n"/>
      <c r="C134" s="151">
        <f>ROUND($B134*C133,2)</f>
        <v/>
      </c>
      <c r="D134" s="151">
        <f>ROUND($B134*D133,2)</f>
        <v/>
      </c>
      <c r="E134" s="151">
        <f>ROUND($B134*E133,2)</f>
        <v/>
      </c>
      <c r="F134" s="151">
        <f>ROUND($B134*F133,2)</f>
        <v/>
      </c>
      <c r="G134" s="151">
        <f>ROUND($B134*G133,2)</f>
        <v/>
      </c>
      <c r="H134" s="151">
        <f>ROUND($B134*H133,2)</f>
        <v/>
      </c>
      <c r="I134" s="151">
        <f>ROUND($B134*I133,2)</f>
        <v/>
      </c>
      <c r="J134" s="151">
        <f>ROUND($B134*J133,2)</f>
        <v/>
      </c>
      <c r="K134" s="151">
        <f>ROUND($B134*K133,2)</f>
        <v/>
      </c>
      <c r="L134" s="151">
        <f>ROUND($B134*L133,2)</f>
        <v/>
      </c>
      <c r="M134" s="151">
        <f>ROUND($B134*M133,2)</f>
        <v/>
      </c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 hidden="1">
      <c r="A135" s="122" t="inlineStr">
        <is>
          <t>金额</t>
        </is>
      </c>
      <c r="B135" s="47" t="n"/>
      <c r="C135" s="149" t="n"/>
      <c r="D135" s="149" t="n"/>
      <c r="E135" s="149" t="n"/>
      <c r="F135" s="149" t="n"/>
      <c r="G135" s="149" t="n"/>
      <c r="H135" s="149" t="n"/>
      <c r="I135" s="149" t="n"/>
      <c r="J135" s="149" t="n"/>
      <c r="K135" s="149" t="n"/>
      <c r="L135" s="149" t="n"/>
      <c r="M135" s="149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 hidden="1">
      <c r="A136" s="122" t="inlineStr">
        <is>
          <t>进项税</t>
        </is>
      </c>
      <c r="B136" s="12" t="n"/>
      <c r="C136" s="151">
        <f>ROUND($B136*C135,2)</f>
        <v/>
      </c>
      <c r="D136" s="151">
        <f>ROUND($B136*D135,2)</f>
        <v/>
      </c>
      <c r="E136" s="151">
        <f>ROUND($B136*E135,2)</f>
        <v/>
      </c>
      <c r="F136" s="151">
        <f>ROUND($B136*F135,2)</f>
        <v/>
      </c>
      <c r="G136" s="151">
        <f>ROUND($B136*G135,2)</f>
        <v/>
      </c>
      <c r="H136" s="151">
        <f>ROUND($B136*H135,2)</f>
        <v/>
      </c>
      <c r="I136" s="151">
        <f>ROUND($B136*I135,2)</f>
        <v/>
      </c>
      <c r="J136" s="151">
        <f>ROUND($B136*J135,2)</f>
        <v/>
      </c>
      <c r="K136" s="151">
        <f>ROUND($B136*K135,2)</f>
        <v/>
      </c>
      <c r="L136" s="151">
        <f>ROUND($B136*L135,2)</f>
        <v/>
      </c>
      <c r="M136" s="151">
        <f>ROUND($B136*M135,2)</f>
        <v/>
      </c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 hidden="1">
      <c r="A137" s="122" t="inlineStr">
        <is>
          <t>金额</t>
        </is>
      </c>
      <c r="B137" s="47" t="n"/>
      <c r="C137" s="149" t="n"/>
      <c r="D137" s="149" t="n"/>
      <c r="E137" s="149" t="n"/>
      <c r="F137" s="149" t="n"/>
      <c r="G137" s="149" t="n"/>
      <c r="H137" s="149" t="n"/>
      <c r="I137" s="149" t="n"/>
      <c r="J137" s="149" t="n"/>
      <c r="K137" s="149" t="n"/>
      <c r="L137" s="149" t="n"/>
      <c r="M137" s="149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 hidden="1">
      <c r="A138" s="122" t="inlineStr">
        <is>
          <t>进项税</t>
        </is>
      </c>
      <c r="B138" s="12" t="n"/>
      <c r="C138" s="151">
        <f>ROUND($B138*C137,2)</f>
        <v/>
      </c>
      <c r="D138" s="151">
        <f>ROUND($B138*D137,2)</f>
        <v/>
      </c>
      <c r="E138" s="151">
        <f>ROUND($B138*E137,2)</f>
        <v/>
      </c>
      <c r="F138" s="151">
        <f>ROUND($B138*F137,2)</f>
        <v/>
      </c>
      <c r="G138" s="151">
        <f>ROUND($B138*G137,2)</f>
        <v/>
      </c>
      <c r="H138" s="151">
        <f>ROUND($B138*H137,2)</f>
        <v/>
      </c>
      <c r="I138" s="151">
        <f>ROUND($B138*I137,2)</f>
        <v/>
      </c>
      <c r="J138" s="151">
        <f>ROUND($B138*J137,2)</f>
        <v/>
      </c>
      <c r="K138" s="151">
        <f>ROUND($B138*K137,2)</f>
        <v/>
      </c>
      <c r="L138" s="151">
        <f>ROUND($B138*L137,2)</f>
        <v/>
      </c>
      <c r="M138" s="151">
        <f>ROUND($B138*M137,2)</f>
        <v/>
      </c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 hidden="1">
      <c r="A139" s="122" t="inlineStr">
        <is>
          <t>金额</t>
        </is>
      </c>
      <c r="B139" s="47" t="n"/>
      <c r="C139" s="149" t="n"/>
      <c r="D139" s="149" t="n"/>
      <c r="E139" s="149" t="n"/>
      <c r="F139" s="149" t="n"/>
      <c r="G139" s="149" t="n"/>
      <c r="H139" s="149" t="n"/>
      <c r="I139" s="149" t="n"/>
      <c r="J139" s="149" t="n"/>
      <c r="K139" s="149" t="n"/>
      <c r="L139" s="149" t="n"/>
      <c r="M139" s="149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 hidden="1">
      <c r="A140" s="122" t="inlineStr">
        <is>
          <t>进项税</t>
        </is>
      </c>
      <c r="B140" s="12" t="n"/>
      <c r="C140" s="151">
        <f>ROUND($B140*C139,2)</f>
        <v/>
      </c>
      <c r="D140" s="151">
        <f>ROUND($B140*D139,2)</f>
        <v/>
      </c>
      <c r="E140" s="151">
        <f>ROUND($B140*E139,2)</f>
        <v/>
      </c>
      <c r="F140" s="151">
        <f>ROUND($B140*F139,2)</f>
        <v/>
      </c>
      <c r="G140" s="151">
        <f>ROUND($B140*G139,2)</f>
        <v/>
      </c>
      <c r="H140" s="151">
        <f>ROUND($B140*H139,2)</f>
        <v/>
      </c>
      <c r="I140" s="151">
        <f>ROUND($B140*I139,2)</f>
        <v/>
      </c>
      <c r="J140" s="151">
        <f>ROUND($B140*J139,2)</f>
        <v/>
      </c>
      <c r="K140" s="151">
        <f>ROUND($B140*K139,2)</f>
        <v/>
      </c>
      <c r="L140" s="151">
        <f>ROUND($B140*L139,2)</f>
        <v/>
      </c>
      <c r="M140" s="151">
        <f>ROUND($B140*M139,2)</f>
        <v/>
      </c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 hidden="1">
      <c r="A141" s="122" t="inlineStr">
        <is>
          <t>金额</t>
        </is>
      </c>
      <c r="B141" s="47" t="n"/>
      <c r="C141" s="149" t="n"/>
      <c r="D141" s="149" t="n"/>
      <c r="E141" s="149" t="n"/>
      <c r="F141" s="149" t="n"/>
      <c r="G141" s="149" t="n"/>
      <c r="H141" s="149" t="n"/>
      <c r="I141" s="149" t="n"/>
      <c r="J141" s="149" t="n"/>
      <c r="K141" s="149" t="n"/>
      <c r="L141" s="149" t="n"/>
      <c r="M141" s="149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 hidden="1">
      <c r="A142" s="122" t="inlineStr">
        <is>
          <t>进项税</t>
        </is>
      </c>
      <c r="B142" s="12" t="n"/>
      <c r="C142" s="151">
        <f>ROUND($B142*C141,2)</f>
        <v/>
      </c>
      <c r="D142" s="151">
        <f>ROUND($B142*D141,2)</f>
        <v/>
      </c>
      <c r="E142" s="151">
        <f>ROUND($B142*E141,2)</f>
        <v/>
      </c>
      <c r="F142" s="151">
        <f>ROUND($B142*F141,2)</f>
        <v/>
      </c>
      <c r="G142" s="151">
        <f>ROUND($B142*G141,2)</f>
        <v/>
      </c>
      <c r="H142" s="151">
        <f>ROUND($B142*H141,2)</f>
        <v/>
      </c>
      <c r="I142" s="151">
        <f>ROUND($B142*I141,2)</f>
        <v/>
      </c>
      <c r="J142" s="151">
        <f>ROUND($B142*J141,2)</f>
        <v/>
      </c>
      <c r="K142" s="151">
        <f>ROUND($B142*K141,2)</f>
        <v/>
      </c>
      <c r="L142" s="151">
        <f>ROUND($B142*L141,2)</f>
        <v/>
      </c>
      <c r="M142" s="151">
        <f>ROUND($B142*M141,2)</f>
        <v/>
      </c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136" t="inlineStr">
        <is>
          <t>资本性支出：</t>
        </is>
      </c>
      <c r="B143" s="46" t="n"/>
      <c r="C143" s="148" t="n"/>
      <c r="D143" s="148" t="n"/>
      <c r="E143" s="148" t="n"/>
      <c r="F143" s="148" t="n"/>
      <c r="G143" s="148" t="n"/>
      <c r="H143" s="148" t="n"/>
      <c r="I143" s="148" t="n"/>
      <c r="J143" s="148" t="n"/>
      <c r="K143" s="148" t="n"/>
      <c r="L143" s="148" t="n"/>
      <c r="M143" s="148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122" t="inlineStr">
        <is>
          <t>金额</t>
        </is>
      </c>
      <c r="B144" s="47" t="n"/>
      <c r="C144" s="149" t="n"/>
      <c r="D144" s="149" t="n"/>
      <c r="E144" s="149" t="n"/>
      <c r="F144" s="149" t="n"/>
      <c r="G144" s="149" t="n"/>
      <c r="H144" s="149" t="n"/>
      <c r="I144" s="149" t="n"/>
      <c r="J144" s="149" t="n"/>
      <c r="K144" s="149" t="n"/>
      <c r="L144" s="149" t="n"/>
      <c r="M144" s="149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122" t="inlineStr">
        <is>
          <t>进项税</t>
        </is>
      </c>
      <c r="B145" s="47" t="inlineStr">
        <is>
          <t>13.00%</t>
        </is>
      </c>
      <c r="C145" s="151">
        <f>ROUND($B145*C144,2)</f>
        <v/>
      </c>
      <c r="D145" s="151">
        <f>ROUND($B145*D144,2)</f>
        <v/>
      </c>
      <c r="E145" s="151">
        <f>ROUND($B145*E144,2)</f>
        <v/>
      </c>
      <c r="F145" s="151">
        <f>ROUND($B145*F144,2)</f>
        <v/>
      </c>
      <c r="G145" s="151">
        <f>ROUND($B145*G144,2)</f>
        <v/>
      </c>
      <c r="H145" s="151">
        <f>ROUND($B145*H144,2)</f>
        <v/>
      </c>
      <c r="I145" s="151">
        <f>ROUND($B145*I144,2)</f>
        <v/>
      </c>
      <c r="J145" s="151">
        <f>ROUND($B145*J144,2)</f>
        <v/>
      </c>
      <c r="K145" s="151">
        <f>ROUND($B145*K144,2)</f>
        <v/>
      </c>
      <c r="L145" s="151">
        <f>ROUND($B145*L144,2)</f>
        <v/>
      </c>
      <c r="M145" s="151">
        <f>ROUND($B145*M144,2)</f>
        <v/>
      </c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122" t="inlineStr">
        <is>
          <t>金额</t>
        </is>
      </c>
      <c r="B146" s="47" t="n"/>
      <c r="C146" s="149" t="n"/>
      <c r="D146" s="149" t="n"/>
      <c r="E146" s="149" t="n"/>
      <c r="F146" s="149" t="n"/>
      <c r="G146" s="149" t="n"/>
      <c r="H146" s="149" t="n"/>
      <c r="I146" s="149" t="n"/>
      <c r="J146" s="149" t="n"/>
      <c r="K146" s="149" t="n"/>
      <c r="L146" s="149" t="n"/>
      <c r="M146" s="149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122" t="inlineStr">
        <is>
          <t>进项税</t>
        </is>
      </c>
      <c r="B147" s="47" t="inlineStr">
        <is>
          <t>9.00%</t>
        </is>
      </c>
      <c r="C147" s="151">
        <f>ROUND($B147*C146,2)</f>
        <v/>
      </c>
      <c r="D147" s="151">
        <f>ROUND($B147*D146,2)</f>
        <v/>
      </c>
      <c r="E147" s="151">
        <f>ROUND($B147*E146,2)</f>
        <v/>
      </c>
      <c r="F147" s="151">
        <f>ROUND($B147*F146,2)</f>
        <v/>
      </c>
      <c r="G147" s="151">
        <f>ROUND($B147*G146,2)</f>
        <v/>
      </c>
      <c r="H147" s="151">
        <f>ROUND($B147*H146,2)</f>
        <v/>
      </c>
      <c r="I147" s="151">
        <f>ROUND($B147*I146,2)</f>
        <v/>
      </c>
      <c r="J147" s="151">
        <f>ROUND($B147*J146,2)</f>
        <v/>
      </c>
      <c r="K147" s="151">
        <f>ROUND($B147*K146,2)</f>
        <v/>
      </c>
      <c r="L147" s="151">
        <f>ROUND($B147*L146,2)</f>
        <v/>
      </c>
      <c r="M147" s="151">
        <f>ROUND($B147*M146,2)</f>
        <v/>
      </c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122" t="inlineStr">
        <is>
          <t>金额</t>
        </is>
      </c>
      <c r="B148" s="47" t="n"/>
      <c r="C148" s="149" t="n"/>
      <c r="D148" s="149" t="n"/>
      <c r="E148" s="149" t="n"/>
      <c r="F148" s="149" t="n"/>
      <c r="G148" s="149" t="n"/>
      <c r="H148" s="149" t="n"/>
      <c r="I148" s="149" t="n"/>
      <c r="J148" s="149" t="n"/>
      <c r="K148" s="149" t="n"/>
      <c r="L148" s="149" t="n"/>
      <c r="M148" s="149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122" t="inlineStr">
        <is>
          <t>进项税</t>
        </is>
      </c>
      <c r="B149" s="47" t="inlineStr">
        <is>
          <t>6.00%</t>
        </is>
      </c>
      <c r="C149" s="151">
        <f>ROUND($B149*C148,2)</f>
        <v/>
      </c>
      <c r="D149" s="151">
        <f>ROUND($B149*D148,2)</f>
        <v/>
      </c>
      <c r="E149" s="151">
        <f>ROUND($B149*E148,2)</f>
        <v/>
      </c>
      <c r="F149" s="151">
        <f>ROUND($B149*F148,2)</f>
        <v/>
      </c>
      <c r="G149" s="151">
        <f>ROUND($B149*G148,2)</f>
        <v/>
      </c>
      <c r="H149" s="151">
        <f>ROUND($B149*H148,2)</f>
        <v/>
      </c>
      <c r="I149" s="151">
        <f>ROUND($B149*I148,2)</f>
        <v/>
      </c>
      <c r="J149" s="151">
        <f>ROUND($B149*J148,2)</f>
        <v/>
      </c>
      <c r="K149" s="151">
        <f>ROUND($B149*K148,2)</f>
        <v/>
      </c>
      <c r="L149" s="151">
        <f>ROUND($B149*L148,2)</f>
        <v/>
      </c>
      <c r="M149" s="151">
        <f>ROUND($B149*M148,2)</f>
        <v/>
      </c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122" t="inlineStr">
        <is>
          <t>金额</t>
        </is>
      </c>
      <c r="B150" s="47" t="n"/>
      <c r="C150" s="149" t="n"/>
      <c r="D150" s="149" t="n"/>
      <c r="E150" s="149" t="n"/>
      <c r="F150" s="149" t="n"/>
      <c r="G150" s="149" t="n"/>
      <c r="H150" s="149" t="n"/>
      <c r="I150" s="149" t="n"/>
      <c r="J150" s="149" t="n"/>
      <c r="K150" s="149" t="n"/>
      <c r="L150" s="149" t="n"/>
      <c r="M150" s="149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122" t="inlineStr">
        <is>
          <t>进项税</t>
        </is>
      </c>
      <c r="B151" s="12" t="n"/>
      <c r="C151" s="151">
        <f>ROUND($B151*C150,2)</f>
        <v/>
      </c>
      <c r="D151" s="151">
        <f>ROUND($B151*D150,2)</f>
        <v/>
      </c>
      <c r="E151" s="151">
        <f>ROUND($B151*E150,2)</f>
        <v/>
      </c>
      <c r="F151" s="151">
        <f>ROUND($B151*F150,2)</f>
        <v/>
      </c>
      <c r="G151" s="151">
        <f>ROUND($B151*G150,2)</f>
        <v/>
      </c>
      <c r="H151" s="151">
        <f>ROUND($B151*H150,2)</f>
        <v/>
      </c>
      <c r="I151" s="151">
        <f>ROUND($B151*I150,2)</f>
        <v/>
      </c>
      <c r="J151" s="151">
        <f>ROUND($B151*J150,2)</f>
        <v/>
      </c>
      <c r="K151" s="151">
        <f>ROUND($B151*K150,2)</f>
        <v/>
      </c>
      <c r="L151" s="151">
        <f>ROUND($B151*L150,2)</f>
        <v/>
      </c>
      <c r="M151" s="151">
        <f>ROUND($B151*M150,2)</f>
        <v/>
      </c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 hidden="1">
      <c r="A152" s="122" t="inlineStr">
        <is>
          <t>金额</t>
        </is>
      </c>
      <c r="B152" s="47" t="n"/>
      <c r="C152" s="149" t="n"/>
      <c r="D152" s="149" t="n"/>
      <c r="E152" s="149" t="n"/>
      <c r="F152" s="149" t="n"/>
      <c r="G152" s="149" t="n"/>
      <c r="H152" s="149" t="n"/>
      <c r="I152" s="149" t="n"/>
      <c r="J152" s="149" t="n"/>
      <c r="K152" s="149" t="n"/>
      <c r="L152" s="149" t="n"/>
      <c r="M152" s="149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 hidden="1">
      <c r="A153" s="122" t="inlineStr">
        <is>
          <t>进项税</t>
        </is>
      </c>
      <c r="B153" s="12" t="n"/>
      <c r="C153" s="151">
        <f>ROUND($B153*C152,2)</f>
        <v/>
      </c>
      <c r="D153" s="151">
        <f>ROUND($B153*D152,2)</f>
        <v/>
      </c>
      <c r="E153" s="151">
        <f>ROUND($B153*E152,2)</f>
        <v/>
      </c>
      <c r="F153" s="151">
        <f>ROUND($B153*F152,2)</f>
        <v/>
      </c>
      <c r="G153" s="151">
        <f>ROUND($B153*G152,2)</f>
        <v/>
      </c>
      <c r="H153" s="151">
        <f>ROUND($B153*H152,2)</f>
        <v/>
      </c>
      <c r="I153" s="151">
        <f>ROUND($B153*I152,2)</f>
        <v/>
      </c>
      <c r="J153" s="151">
        <f>ROUND($B153*J152,2)</f>
        <v/>
      </c>
      <c r="K153" s="151">
        <f>ROUND($B153*K152,2)</f>
        <v/>
      </c>
      <c r="L153" s="151">
        <f>ROUND($B153*L152,2)</f>
        <v/>
      </c>
      <c r="M153" s="151">
        <f>ROUND($B153*M152,2)</f>
        <v/>
      </c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 hidden="1">
      <c r="A154" s="122" t="inlineStr">
        <is>
          <t>金额</t>
        </is>
      </c>
      <c r="B154" s="47" t="n"/>
      <c r="C154" s="149" t="n"/>
      <c r="D154" s="149" t="n"/>
      <c r="E154" s="149" t="n"/>
      <c r="F154" s="149" t="n"/>
      <c r="G154" s="149" t="n"/>
      <c r="H154" s="149" t="n"/>
      <c r="I154" s="149" t="n"/>
      <c r="J154" s="149" t="n"/>
      <c r="K154" s="149" t="n"/>
      <c r="L154" s="149" t="n"/>
      <c r="M154" s="149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 hidden="1">
      <c r="A155" s="122" t="inlineStr">
        <is>
          <t>进项税</t>
        </is>
      </c>
      <c r="B155" s="12" t="n"/>
      <c r="C155" s="151">
        <f>ROUND($B155*C154,2)</f>
        <v/>
      </c>
      <c r="D155" s="151">
        <f>ROUND($B155*D154,2)</f>
        <v/>
      </c>
      <c r="E155" s="151">
        <f>ROUND($B155*E154,2)</f>
        <v/>
      </c>
      <c r="F155" s="151">
        <f>ROUND($B155*F154,2)</f>
        <v/>
      </c>
      <c r="G155" s="151">
        <f>ROUND($B155*G154,2)</f>
        <v/>
      </c>
      <c r="H155" s="151">
        <f>ROUND($B155*H154,2)</f>
        <v/>
      </c>
      <c r="I155" s="151">
        <f>ROUND($B155*I154,2)</f>
        <v/>
      </c>
      <c r="J155" s="151">
        <f>ROUND($B155*J154,2)</f>
        <v/>
      </c>
      <c r="K155" s="151">
        <f>ROUND($B155*K154,2)</f>
        <v/>
      </c>
      <c r="L155" s="151">
        <f>ROUND($B155*L154,2)</f>
        <v/>
      </c>
      <c r="M155" s="151">
        <f>ROUND($B155*M154,2)</f>
        <v/>
      </c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 hidden="1">
      <c r="A156" s="122" t="inlineStr">
        <is>
          <t>金额</t>
        </is>
      </c>
      <c r="B156" s="47" t="n"/>
      <c r="C156" s="149" t="n"/>
      <c r="D156" s="149" t="n"/>
      <c r="E156" s="149" t="n"/>
      <c r="F156" s="149" t="n"/>
      <c r="G156" s="149" t="n"/>
      <c r="H156" s="149" t="n"/>
      <c r="I156" s="149" t="n"/>
      <c r="J156" s="149" t="n"/>
      <c r="K156" s="149" t="n"/>
      <c r="L156" s="149" t="n"/>
      <c r="M156" s="149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 hidden="1">
      <c r="A157" s="122" t="inlineStr">
        <is>
          <t>进项税</t>
        </is>
      </c>
      <c r="B157" s="12" t="n"/>
      <c r="C157" s="151">
        <f>ROUND($B157*C156,2)</f>
        <v/>
      </c>
      <c r="D157" s="151">
        <f>ROUND($B157*D156,2)</f>
        <v/>
      </c>
      <c r="E157" s="151">
        <f>ROUND($B157*E156,2)</f>
        <v/>
      </c>
      <c r="F157" s="151">
        <f>ROUND($B157*F156,2)</f>
        <v/>
      </c>
      <c r="G157" s="151">
        <f>ROUND($B157*G156,2)</f>
        <v/>
      </c>
      <c r="H157" s="151">
        <f>ROUND($B157*H156,2)</f>
        <v/>
      </c>
      <c r="I157" s="151">
        <f>ROUND($B157*I156,2)</f>
        <v/>
      </c>
      <c r="J157" s="151">
        <f>ROUND($B157*J156,2)</f>
        <v/>
      </c>
      <c r="K157" s="151">
        <f>ROUND($B157*K156,2)</f>
        <v/>
      </c>
      <c r="L157" s="151">
        <f>ROUND($B157*L156,2)</f>
        <v/>
      </c>
      <c r="M157" s="151">
        <f>ROUND($B157*M156,2)</f>
        <v/>
      </c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 hidden="1">
      <c r="A158" s="122" t="inlineStr">
        <is>
          <t>金额</t>
        </is>
      </c>
      <c r="B158" s="47" t="n"/>
      <c r="C158" s="149" t="n"/>
      <c r="D158" s="149" t="n"/>
      <c r="E158" s="149" t="n"/>
      <c r="F158" s="149" t="n"/>
      <c r="G158" s="149" t="n"/>
      <c r="H158" s="149" t="n"/>
      <c r="I158" s="149" t="n"/>
      <c r="J158" s="149" t="n"/>
      <c r="K158" s="149" t="n"/>
      <c r="L158" s="149" t="n"/>
      <c r="M158" s="149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 hidden="1">
      <c r="A159" s="122" t="inlineStr">
        <is>
          <t>进项税</t>
        </is>
      </c>
      <c r="B159" s="12" t="n"/>
      <c r="C159" s="151">
        <f>ROUND($B159*C158,2)</f>
        <v/>
      </c>
      <c r="D159" s="151">
        <f>ROUND($B159*D158,2)</f>
        <v/>
      </c>
      <c r="E159" s="151">
        <f>ROUND($B159*E158,2)</f>
        <v/>
      </c>
      <c r="F159" s="151">
        <f>ROUND($B159*F158,2)</f>
        <v/>
      </c>
      <c r="G159" s="151">
        <f>ROUND($B159*G158,2)</f>
        <v/>
      </c>
      <c r="H159" s="151">
        <f>ROUND($B159*H158,2)</f>
        <v/>
      </c>
      <c r="I159" s="151">
        <f>ROUND($B159*I158,2)</f>
        <v/>
      </c>
      <c r="J159" s="151">
        <f>ROUND($B159*J158,2)</f>
        <v/>
      </c>
      <c r="K159" s="151">
        <f>ROUND($B159*K158,2)</f>
        <v/>
      </c>
      <c r="L159" s="151">
        <f>ROUND($B159*L158,2)</f>
        <v/>
      </c>
      <c r="M159" s="151">
        <f>ROUND($B159*M158,2)</f>
        <v/>
      </c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136" t="inlineStr">
        <is>
          <t>进项税合计</t>
        </is>
      </c>
      <c r="B160" s="48" t="n"/>
      <c r="C160" s="150">
        <f>SUMIF($A41:$A159,$A43,C41:C159)+C161</f>
        <v/>
      </c>
      <c r="D160" s="150">
        <f>SUMIF($A41:$A159,$A43,D41:D159)+D161</f>
        <v/>
      </c>
      <c r="E160" s="150">
        <f>SUMIF($A41:$A159,$A43,E41:E159)+E161</f>
        <v/>
      </c>
      <c r="F160" s="150">
        <f>SUMIF($A41:$A159,$A43,F41:F159)+F161</f>
        <v/>
      </c>
      <c r="G160" s="150">
        <f>SUMIF($A41:$A159,$A43,G41:G159)+G161</f>
        <v/>
      </c>
      <c r="H160" s="150">
        <f>SUMIF($A41:$A159,$A43,H41:H159)+H161</f>
        <v/>
      </c>
      <c r="I160" s="150">
        <f>SUMIF($A41:$A159,$A43,I41:I159)+I161</f>
        <v/>
      </c>
      <c r="J160" s="150">
        <f>SUMIF($A41:$A159,$A43,J41:J159)+J161</f>
        <v/>
      </c>
      <c r="K160" s="150">
        <f>SUMIF($A41:$A159,$A43,K41:K159)+K161</f>
        <v/>
      </c>
      <c r="L160" s="150">
        <f>SUMIF($A41:$A159,$A43,L41:L159)+L161</f>
        <v/>
      </c>
      <c r="M160" s="150">
        <f>SUMIF($A41:$A159,$A43,M41:M159)+M161</f>
        <v/>
      </c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122" t="inlineStr">
        <is>
          <t>期初待抵扣进项税</t>
        </is>
      </c>
      <c r="B161" s="47" t="n"/>
      <c r="C161" s="149" t="n"/>
      <c r="D161" s="149" t="n"/>
      <c r="E161" s="149" t="n"/>
      <c r="F161" s="149" t="n"/>
      <c r="G161" s="165" t="n"/>
      <c r="H161" s="151">
        <f>IF(G162&lt;0,-G162,0)</f>
        <v/>
      </c>
      <c r="I161" s="151">
        <f>IF(H162&lt;0,-H162,0)</f>
        <v/>
      </c>
      <c r="J161" s="151">
        <f>IF(I162&lt;0,-I162,0)</f>
        <v/>
      </c>
      <c r="K161" s="151">
        <f>IF(J162&lt;0,-J162,0)</f>
        <v/>
      </c>
      <c r="L161" s="151">
        <f>IF(K162&lt;0,-K162,0)</f>
        <v/>
      </c>
      <c r="M161" s="151">
        <f>IF(L162&lt;0,-L162,0)</f>
        <v/>
      </c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122" t="inlineStr">
        <is>
          <t>应交增值税</t>
        </is>
      </c>
      <c r="B162" s="47" t="n"/>
      <c r="C162" s="151">
        <f>C40-C160</f>
        <v/>
      </c>
      <c r="D162" s="151">
        <f>D40-D160</f>
        <v/>
      </c>
      <c r="E162" s="151">
        <f>E40-E160</f>
        <v/>
      </c>
      <c r="F162" s="151">
        <f>F40-F160</f>
        <v/>
      </c>
      <c r="G162" s="151">
        <f>G40-G160</f>
        <v/>
      </c>
      <c r="H162" s="151">
        <f>H40-H160</f>
        <v/>
      </c>
      <c r="I162" s="151">
        <f>I40-I160</f>
        <v/>
      </c>
      <c r="J162" s="151">
        <f>J40-J160</f>
        <v/>
      </c>
      <c r="K162" s="151">
        <f>K40-K160</f>
        <v/>
      </c>
      <c r="L162" s="151">
        <f>L40-L160</f>
        <v/>
      </c>
      <c r="M162" s="151">
        <f>M40-M160</f>
        <v/>
      </c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31" t="inlineStr">
        <is>
          <t>主营业务收入核对</t>
        </is>
      </c>
      <c r="B164" s="32" t="n"/>
      <c r="C164" s="152">
        <f>SUMIF($A7:$A22,$A7,C7:C22)-营业收入表!C11</f>
        <v/>
      </c>
      <c r="D164" s="152">
        <f>SUMIF($A7:$A22,$A7,D7:D22)-营业收入表!D11</f>
        <v/>
      </c>
      <c r="E164" s="152">
        <f>SUMIF($A7:$A22,$A7,E7:E22)-营业收入表!E11</f>
        <v/>
      </c>
      <c r="F164" s="152">
        <f>SUMIF($A7:$A22,$A7,F7:F22)-营业收入表!F11</f>
        <v/>
      </c>
      <c r="G164" s="152">
        <f>SUMIF($A7:$A22,$A7,G7:G22)-营业收入表!G11</f>
        <v/>
      </c>
      <c r="H164" s="152">
        <f>SUMIF($A7:$A22,$A7,H7:H22)-营业收入表!H11</f>
        <v/>
      </c>
      <c r="I164" s="152">
        <f>SUMIF($A7:$A22,$A7,I7:I22)-营业收入表!I11</f>
        <v/>
      </c>
      <c r="J164" s="152">
        <f>SUMIF($A7:$A22,$A7,J7:J22)-营业收入表!J11</f>
        <v/>
      </c>
      <c r="K164" s="152">
        <f>SUMIF($A7:$A22,$A7,K7:K22)-营业收入表!K11</f>
        <v/>
      </c>
      <c r="L164" s="152">
        <f>SUMIF($A7:$A22,$A7,L7:L22)-营业收入表!L11</f>
        <v/>
      </c>
      <c r="M164" s="152">
        <f>SUMIF($A7:$A22,$A7,M7:M22)-营业收入表!M11</f>
        <v/>
      </c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31" t="inlineStr">
        <is>
          <t>其他业务收入核对</t>
        </is>
      </c>
      <c r="B165" s="32" t="n"/>
      <c r="C165" s="152">
        <f>SUMIF($A24:$A39,$A24,C24:C39)-营业收入表!C16</f>
        <v/>
      </c>
      <c r="D165" s="152">
        <f>SUMIF($A24:$A39,$A24,D24:D39)-营业收入表!D16</f>
        <v/>
      </c>
      <c r="E165" s="152">
        <f>SUMIF($A24:$A39,$A24,E24:E39)-营业收入表!E16</f>
        <v/>
      </c>
      <c r="F165" s="152">
        <f>SUMIF($A24:$A39,$A24,F24:F39)-营业收入表!F16</f>
        <v/>
      </c>
      <c r="G165" s="152">
        <f>SUMIF($A24:$A39,$A24,G24:G39)-营业收入表!G16</f>
        <v/>
      </c>
      <c r="H165" s="152">
        <f>SUMIF($A24:$A39,$A24,H24:H39)-营业收入表!H16</f>
        <v/>
      </c>
      <c r="I165" s="152">
        <f>SUMIF($A24:$A39,$A24,I24:I39)-营业收入表!I16</f>
        <v/>
      </c>
      <c r="J165" s="152">
        <f>SUMIF($A24:$A39,$A24,J24:J39)-营业收入表!J16</f>
        <v/>
      </c>
      <c r="K165" s="152">
        <f>SUMIF($A24:$A39,$A24,K24:K39)-营业收入表!K16</f>
        <v/>
      </c>
      <c r="L165" s="152">
        <f>SUMIF($A24:$A39,$A24,L24:L39)-营业收入表!L16</f>
        <v/>
      </c>
      <c r="M165" s="152">
        <f>SUMIF($A24:$A39,$A24,M24:M39)-营业收入表!M16</f>
        <v/>
      </c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31" t="inlineStr">
        <is>
          <t>主营业务成本核对</t>
        </is>
      </c>
      <c r="B166" s="32" t="n"/>
      <c r="C166" s="152">
        <f>SUMIF($A42:$A57,$A42,C42:C57)-营业成本表!C11</f>
        <v/>
      </c>
      <c r="D166" s="152">
        <f>SUMIF($A42:$A57,$A42,D42:D57)-营业成本表!D11</f>
        <v/>
      </c>
      <c r="E166" s="152">
        <f>SUMIF($A42:$A57,$A42,E42:E57)-营业成本表!E11</f>
        <v/>
      </c>
      <c r="F166" s="152">
        <f>SUMIF($A42:$A57,$A42,F42:F57)-营业成本表!F11</f>
        <v/>
      </c>
      <c r="G166" s="152">
        <f>SUMIF($A42:$A57,$A42,G42:G57)-营业成本表!G11</f>
        <v/>
      </c>
      <c r="H166" s="152">
        <f>SUMIF($A42:$A57,$A42,H42:H57)-营业成本表!H11</f>
        <v/>
      </c>
      <c r="I166" s="152">
        <f>SUMIF($A42:$A57,$A42,I42:I57)-营业成本表!I11</f>
        <v/>
      </c>
      <c r="J166" s="152">
        <f>SUMIF($A42:$A57,$A42,J42:J57)-营业成本表!J11</f>
        <v/>
      </c>
      <c r="K166" s="152">
        <f>SUMIF($A42:$A57,$A42,K42:K57)-营业成本表!K11</f>
        <v/>
      </c>
      <c r="L166" s="152">
        <f>SUMIF($A42:$A57,$A42,L42:L57)-营业成本表!L11</f>
        <v/>
      </c>
      <c r="M166" s="152">
        <f>SUMIF($A42:$A57,$A42,M42:M57)-营业成本表!M11</f>
        <v/>
      </c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31" t="inlineStr">
        <is>
          <t>其他业务成本核对</t>
        </is>
      </c>
      <c r="B167" s="32" t="n"/>
      <c r="C167" s="152">
        <f>SUMIF($A59:$A74,$A59,C59:C74)-营业成本表!C16</f>
        <v/>
      </c>
      <c r="D167" s="152">
        <f>SUMIF($A59:$A74,$A59,D59:D74)-营业成本表!D16</f>
        <v/>
      </c>
      <c r="E167" s="152">
        <f>SUMIF($A59:$A74,$A59,E59:E74)-营业成本表!E16</f>
        <v/>
      </c>
      <c r="F167" s="152">
        <f>SUMIF($A59:$A74,$A59,F59:F74)-营业成本表!F16</f>
        <v/>
      </c>
      <c r="G167" s="152">
        <f>SUMIF($A59:$A74,$A59,G59:G74)-营业成本表!G16</f>
        <v/>
      </c>
      <c r="H167" s="152">
        <f>SUMIF($A59:$A74,$A59,H59:H74)-营业成本表!H16</f>
        <v/>
      </c>
      <c r="I167" s="152">
        <f>SUMIF($A59:$A74,$A59,I59:I74)-营业成本表!I16</f>
        <v/>
      </c>
      <c r="J167" s="152">
        <f>SUMIF($A59:$A74,$A59,J59:J74)-营业成本表!J16</f>
        <v/>
      </c>
      <c r="K167" s="152">
        <f>SUMIF($A59:$A74,$A59,K59:K74)-营业成本表!K16</f>
        <v/>
      </c>
      <c r="L167" s="152">
        <f>SUMIF($A59:$A74,$A59,L59:L74)-营业成本表!L16</f>
        <v/>
      </c>
      <c r="M167" s="152">
        <f>SUMIF($A59:$A74,$A59,M59:M74)-营业成本表!M16</f>
        <v/>
      </c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6">
    <mergeCell ref="B4:B5"/>
    <mergeCell ref="A1:M1"/>
    <mergeCell ref="C4:F4"/>
    <mergeCell ref="A4:A5"/>
    <mergeCell ref="G4:M4"/>
    <mergeCell ref="A2:M2"/>
  </mergeCells>
  <conditionalFormatting sqref="C164:M167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M266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.109375" defaultRowHeight="14.4"/>
  <cols>
    <col width="35" customWidth="1" style="1" min="1" max="1"/>
    <col hidden="1" width="15" customWidth="1" style="1" min="2" max="2"/>
    <col width="15" customWidth="1" style="1" min="3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销售费用分析预测表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121" t="inlineStr">
        <is>
          <t>项目</t>
        </is>
      </c>
      <c r="B4" s="121" t="n"/>
      <c r="C4" s="121" t="inlineStr">
        <is>
          <t>历史数据</t>
        </is>
      </c>
      <c r="D4" s="154" t="n"/>
      <c r="E4" s="154" t="n"/>
      <c r="F4" s="155" t="n"/>
      <c r="G4" s="124" t="inlineStr">
        <is>
          <t>未来预测</t>
        </is>
      </c>
      <c r="H4" s="154" t="n"/>
      <c r="I4" s="154" t="n"/>
      <c r="J4" s="154" t="n"/>
      <c r="K4" s="154" t="n"/>
      <c r="L4" s="154" t="n"/>
      <c r="M4" s="15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47" t="n"/>
      <c r="B5" s="121" t="n"/>
      <c r="C5" s="121" t="inlineStr">
        <is>
          <t>2022年度</t>
        </is>
      </c>
      <c r="D5" s="121" t="inlineStr">
        <is>
          <t>2023年度</t>
        </is>
      </c>
      <c r="E5" s="121" t="inlineStr">
        <is>
          <t>2024年度</t>
        </is>
      </c>
      <c r="F5" s="121" t="inlineStr">
        <is>
          <t>2025年1-6月</t>
        </is>
      </c>
      <c r="G5" s="124" t="inlineStr">
        <is>
          <t>2025年7-12月</t>
        </is>
      </c>
      <c r="H5" s="124" t="inlineStr">
        <is>
          <t>2026年度</t>
        </is>
      </c>
      <c r="I5" s="124" t="inlineStr">
        <is>
          <t>2027年度</t>
        </is>
      </c>
      <c r="J5" s="124" t="inlineStr">
        <is>
          <t>2028年度</t>
        </is>
      </c>
      <c r="K5" s="124" t="inlineStr">
        <is>
          <t>2029年度</t>
        </is>
      </c>
      <c r="L5" s="124" t="inlineStr">
        <is>
          <t>2030年度</t>
        </is>
      </c>
      <c r="M5" s="124" t="inlineStr">
        <is>
          <t>永续年度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22" t="inlineStr">
        <is>
          <t>人工</t>
        </is>
      </c>
      <c r="B6" s="135" t="n"/>
      <c r="C6" s="149" t="n"/>
      <c r="D6" s="149" t="n"/>
      <c r="E6" s="149" t="n"/>
      <c r="F6" s="149" t="n"/>
      <c r="G6" s="149" t="n"/>
      <c r="H6" s="149" t="n"/>
      <c r="I6" s="149" t="n"/>
      <c r="J6" s="149" t="n"/>
      <c r="K6" s="149" t="n"/>
      <c r="L6" s="149" t="n"/>
      <c r="M6" s="149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22" t="inlineStr">
        <is>
          <t>折旧</t>
        </is>
      </c>
      <c r="B7" s="135" t="n"/>
      <c r="C7" s="149" t="n"/>
      <c r="D7" s="149" t="n"/>
      <c r="E7" s="149" t="n"/>
      <c r="F7" s="149" t="n"/>
      <c r="G7" s="156">
        <f>折旧摊销、资本性支出表!G11</f>
        <v/>
      </c>
      <c r="H7" s="156">
        <f>折旧摊销、资本性支出表!H11</f>
        <v/>
      </c>
      <c r="I7" s="156">
        <f>折旧摊销、资本性支出表!I11</f>
        <v/>
      </c>
      <c r="J7" s="156">
        <f>折旧摊销、资本性支出表!J11</f>
        <v/>
      </c>
      <c r="K7" s="156">
        <f>折旧摊销、资本性支出表!K11</f>
        <v/>
      </c>
      <c r="L7" s="156">
        <f>折旧摊销、资本性支出表!L11</f>
        <v/>
      </c>
      <c r="M7" s="156">
        <f>折旧摊销、资本性支出表!M11</f>
        <v/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22" t="inlineStr">
        <is>
          <t>摊销</t>
        </is>
      </c>
      <c r="B8" s="135" t="n"/>
      <c r="C8" s="149" t="n"/>
      <c r="D8" s="149" t="n"/>
      <c r="E8" s="149" t="n"/>
      <c r="F8" s="149" t="n"/>
      <c r="G8" s="156">
        <f>折旧摊销、资本性支出表!G12</f>
        <v/>
      </c>
      <c r="H8" s="156">
        <f>折旧摊销、资本性支出表!H12</f>
        <v/>
      </c>
      <c r="I8" s="156">
        <f>折旧摊销、资本性支出表!I12</f>
        <v/>
      </c>
      <c r="J8" s="156">
        <f>折旧摊销、资本性支出表!J12</f>
        <v/>
      </c>
      <c r="K8" s="156">
        <f>折旧摊销、资本性支出表!K12</f>
        <v/>
      </c>
      <c r="L8" s="156">
        <f>折旧摊销、资本性支出表!L12</f>
        <v/>
      </c>
      <c r="M8" s="156">
        <f>折旧摊销、资本性支出表!M12</f>
        <v/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22" t="inlineStr">
        <is>
          <t>业务招待费</t>
        </is>
      </c>
      <c r="B9" s="135" t="n"/>
      <c r="C9" s="149" t="n"/>
      <c r="D9" s="149" t="n"/>
      <c r="E9" s="149" t="n"/>
      <c r="F9" s="149" t="n"/>
      <c r="G9" s="149" t="n"/>
      <c r="H9" s="149" t="n"/>
      <c r="I9" s="149" t="n"/>
      <c r="J9" s="149" t="n"/>
      <c r="K9" s="149" t="n"/>
      <c r="L9" s="149" t="n"/>
      <c r="M9" s="149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122" t="inlineStr">
        <is>
          <t>使用权资产折旧</t>
        </is>
      </c>
      <c r="B10" s="135" t="n"/>
      <c r="C10" s="149" t="n"/>
      <c r="D10" s="149" t="n"/>
      <c r="E10" s="149" t="n"/>
      <c r="F10" s="149" t="n"/>
      <c r="G10" s="149" t="n"/>
      <c r="H10" s="149" t="n"/>
      <c r="I10" s="149" t="n"/>
      <c r="J10" s="149" t="n"/>
      <c r="K10" s="149" t="n"/>
      <c r="L10" s="149" t="n"/>
      <c r="M10" s="149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122" t="inlineStr">
        <is>
          <t>房屋租赁费</t>
        </is>
      </c>
      <c r="B11" s="135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135" t="n"/>
      <c r="B12" s="135" t="n"/>
      <c r="C12" s="149" t="n"/>
      <c r="D12" s="149" t="n"/>
      <c r="E12" s="149" t="n"/>
      <c r="F12" s="149" t="n"/>
      <c r="G12" s="149" t="n"/>
      <c r="H12" s="149" t="n"/>
      <c r="I12" s="149" t="n"/>
      <c r="J12" s="149" t="n"/>
      <c r="K12" s="149" t="n"/>
      <c r="L12" s="149" t="n"/>
      <c r="M12" s="149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135" t="n"/>
      <c r="B13" s="135" t="n"/>
      <c r="C13" s="149" t="n"/>
      <c r="D13" s="149" t="n"/>
      <c r="E13" s="149" t="n"/>
      <c r="F13" s="149" t="n"/>
      <c r="G13" s="149" t="n"/>
      <c r="H13" s="149" t="n"/>
      <c r="I13" s="149" t="n"/>
      <c r="J13" s="149" t="n"/>
      <c r="K13" s="149" t="n"/>
      <c r="L13" s="149" t="n"/>
      <c r="M13" s="149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135" t="n"/>
      <c r="B14" s="135" t="n"/>
      <c r="C14" s="149" t="n"/>
      <c r="D14" s="149" t="n"/>
      <c r="E14" s="149" t="n"/>
      <c r="F14" s="149" t="n"/>
      <c r="G14" s="149" t="n"/>
      <c r="H14" s="149" t="n"/>
      <c r="I14" s="149" t="n"/>
      <c r="J14" s="149" t="n"/>
      <c r="K14" s="149" t="n"/>
      <c r="L14" s="149" t="n"/>
      <c r="M14" s="149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135" t="n"/>
      <c r="B15" s="135" t="n"/>
      <c r="C15" s="149" t="n"/>
      <c r="D15" s="149" t="n"/>
      <c r="E15" s="149" t="n"/>
      <c r="F15" s="149" t="n"/>
      <c r="G15" s="149" t="n"/>
      <c r="H15" s="149" t="n"/>
      <c r="I15" s="149" t="n"/>
      <c r="J15" s="149" t="n"/>
      <c r="K15" s="149" t="n"/>
      <c r="L15" s="149" t="n"/>
      <c r="M15" s="149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135" t="n"/>
      <c r="B16" s="135" t="n"/>
      <c r="C16" s="149" t="n"/>
      <c r="D16" s="149" t="n"/>
      <c r="E16" s="149" t="n"/>
      <c r="F16" s="149" t="n"/>
      <c r="G16" s="149" t="n"/>
      <c r="H16" s="149" t="n"/>
      <c r="I16" s="149" t="n"/>
      <c r="J16" s="149" t="n"/>
      <c r="K16" s="149" t="n"/>
      <c r="L16" s="149" t="n"/>
      <c r="M16" s="149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135" t="n"/>
      <c r="B17" s="135" t="n"/>
      <c r="C17" s="149" t="n"/>
      <c r="D17" s="149" t="n"/>
      <c r="E17" s="149" t="n"/>
      <c r="F17" s="149" t="n"/>
      <c r="G17" s="149" t="n"/>
      <c r="H17" s="149" t="n"/>
      <c r="I17" s="149" t="n"/>
      <c r="J17" s="149" t="n"/>
      <c r="K17" s="149" t="n"/>
      <c r="L17" s="149" t="n"/>
      <c r="M17" s="149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135" t="n"/>
      <c r="B18" s="135" t="n"/>
      <c r="C18" s="149" t="n"/>
      <c r="D18" s="149" t="n"/>
      <c r="E18" s="149" t="n"/>
      <c r="F18" s="149" t="n"/>
      <c r="G18" s="149" t="n"/>
      <c r="H18" s="149" t="n"/>
      <c r="I18" s="149" t="n"/>
      <c r="J18" s="149" t="n"/>
      <c r="K18" s="149" t="n"/>
      <c r="L18" s="149" t="n"/>
      <c r="M18" s="149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135" t="n"/>
      <c r="B19" s="135" t="n"/>
      <c r="C19" s="149" t="n"/>
      <c r="D19" s="149" t="n"/>
      <c r="E19" s="149" t="n"/>
      <c r="F19" s="149" t="n"/>
      <c r="G19" s="149" t="n"/>
      <c r="H19" s="149" t="n"/>
      <c r="I19" s="149" t="n"/>
      <c r="J19" s="149" t="n"/>
      <c r="K19" s="149" t="n"/>
      <c r="L19" s="149" t="n"/>
      <c r="M19" s="149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135" t="n"/>
      <c r="B20" s="135" t="n"/>
      <c r="C20" s="149" t="n"/>
      <c r="D20" s="149" t="n"/>
      <c r="E20" s="149" t="n"/>
      <c r="F20" s="149" t="n"/>
      <c r="G20" s="149" t="n"/>
      <c r="H20" s="149" t="n"/>
      <c r="I20" s="149" t="n"/>
      <c r="J20" s="149" t="n"/>
      <c r="K20" s="149" t="n"/>
      <c r="L20" s="149" t="n"/>
      <c r="M20" s="149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135" t="n"/>
      <c r="B21" s="135" t="n"/>
      <c r="C21" s="149" t="n"/>
      <c r="D21" s="149" t="n"/>
      <c r="E21" s="149" t="n"/>
      <c r="F21" s="149" t="n"/>
      <c r="G21" s="149" t="n"/>
      <c r="H21" s="149" t="n"/>
      <c r="I21" s="149" t="n"/>
      <c r="J21" s="149" t="n"/>
      <c r="K21" s="149" t="n"/>
      <c r="L21" s="149" t="n"/>
      <c r="M21" s="149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135" t="n"/>
      <c r="B22" s="135" t="n"/>
      <c r="C22" s="149" t="n"/>
      <c r="D22" s="149" t="n"/>
      <c r="E22" s="149" t="n"/>
      <c r="F22" s="149" t="n"/>
      <c r="G22" s="149" t="n"/>
      <c r="H22" s="149" t="n"/>
      <c r="I22" s="149" t="n"/>
      <c r="J22" s="149" t="n"/>
      <c r="K22" s="149" t="n"/>
      <c r="L22" s="149" t="n"/>
      <c r="M22" s="149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135" t="n"/>
      <c r="B23" s="135" t="n"/>
      <c r="C23" s="149" t="n"/>
      <c r="D23" s="149" t="n"/>
      <c r="E23" s="149" t="n"/>
      <c r="F23" s="149" t="n"/>
      <c r="G23" s="149" t="n"/>
      <c r="H23" s="149" t="n"/>
      <c r="I23" s="149" t="n"/>
      <c r="J23" s="149" t="n"/>
      <c r="K23" s="149" t="n"/>
      <c r="L23" s="149" t="n"/>
      <c r="M23" s="149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135" t="n"/>
      <c r="B24" s="135" t="n"/>
      <c r="C24" s="149" t="n"/>
      <c r="D24" s="149" t="n"/>
      <c r="E24" s="149" t="n"/>
      <c r="F24" s="149" t="n"/>
      <c r="G24" s="149" t="n"/>
      <c r="H24" s="149" t="n"/>
      <c r="I24" s="149" t="n"/>
      <c r="J24" s="149" t="n"/>
      <c r="K24" s="149" t="n"/>
      <c r="L24" s="149" t="n"/>
      <c r="M24" s="149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135" t="n"/>
      <c r="B25" s="135" t="n"/>
      <c r="C25" s="149" t="n"/>
      <c r="D25" s="149" t="n"/>
      <c r="E25" s="149" t="n"/>
      <c r="F25" s="149" t="n"/>
      <c r="G25" s="149" t="n"/>
      <c r="H25" s="149" t="n"/>
      <c r="I25" s="149" t="n"/>
      <c r="J25" s="149" t="n"/>
      <c r="K25" s="149" t="n"/>
      <c r="L25" s="149" t="n"/>
      <c r="M25" s="149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135" t="n"/>
      <c r="B26" s="135" t="n"/>
      <c r="C26" s="149" t="n"/>
      <c r="D26" s="149" t="n"/>
      <c r="E26" s="149" t="n"/>
      <c r="F26" s="149" t="n"/>
      <c r="G26" s="149" t="n"/>
      <c r="H26" s="149" t="n"/>
      <c r="I26" s="149" t="n"/>
      <c r="J26" s="149" t="n"/>
      <c r="K26" s="149" t="n"/>
      <c r="L26" s="149" t="n"/>
      <c r="M26" s="149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135" t="n"/>
      <c r="B27" s="135" t="n"/>
      <c r="C27" s="149" t="n"/>
      <c r="D27" s="149" t="n"/>
      <c r="E27" s="149" t="n"/>
      <c r="F27" s="149" t="n"/>
      <c r="G27" s="149" t="n"/>
      <c r="H27" s="149" t="n"/>
      <c r="I27" s="149" t="n"/>
      <c r="J27" s="149" t="n"/>
      <c r="K27" s="149" t="n"/>
      <c r="L27" s="149" t="n"/>
      <c r="M27" s="149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135" t="n"/>
      <c r="B28" s="135" t="n"/>
      <c r="C28" s="149" t="n"/>
      <c r="D28" s="149" t="n"/>
      <c r="E28" s="149" t="n"/>
      <c r="F28" s="149" t="n"/>
      <c r="G28" s="149" t="n"/>
      <c r="H28" s="149" t="n"/>
      <c r="I28" s="149" t="n"/>
      <c r="J28" s="149" t="n"/>
      <c r="K28" s="149" t="n"/>
      <c r="L28" s="149" t="n"/>
      <c r="M28" s="149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135" t="n"/>
      <c r="B29" s="135" t="n"/>
      <c r="C29" s="149" t="n"/>
      <c r="D29" s="149" t="n"/>
      <c r="E29" s="149" t="n"/>
      <c r="F29" s="149" t="n"/>
      <c r="G29" s="149" t="n"/>
      <c r="H29" s="149" t="n"/>
      <c r="I29" s="149" t="n"/>
      <c r="J29" s="149" t="n"/>
      <c r="K29" s="149" t="n"/>
      <c r="L29" s="149" t="n"/>
      <c r="M29" s="149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135" t="n"/>
      <c r="B30" s="135" t="n"/>
      <c r="C30" s="149" t="n"/>
      <c r="D30" s="149" t="n"/>
      <c r="E30" s="149" t="n"/>
      <c r="F30" s="149" t="n"/>
      <c r="G30" s="149" t="n"/>
      <c r="H30" s="149" t="n"/>
      <c r="I30" s="149" t="n"/>
      <c r="J30" s="149" t="n"/>
      <c r="K30" s="149" t="n"/>
      <c r="L30" s="149" t="n"/>
      <c r="M30" s="149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135" t="n"/>
      <c r="B31" s="135" t="n"/>
      <c r="C31" s="149" t="n"/>
      <c r="D31" s="149" t="n"/>
      <c r="E31" s="149" t="n"/>
      <c r="F31" s="149" t="n"/>
      <c r="G31" s="149" t="n"/>
      <c r="H31" s="149" t="n"/>
      <c r="I31" s="149" t="n"/>
      <c r="J31" s="149" t="n"/>
      <c r="K31" s="149" t="n"/>
      <c r="L31" s="149" t="n"/>
      <c r="M31" s="149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135" t="n"/>
      <c r="B32" s="135" t="n"/>
      <c r="C32" s="149" t="n"/>
      <c r="D32" s="149" t="n"/>
      <c r="E32" s="149" t="n"/>
      <c r="F32" s="149" t="n"/>
      <c r="G32" s="149" t="n"/>
      <c r="H32" s="149" t="n"/>
      <c r="I32" s="149" t="n"/>
      <c r="J32" s="149" t="n"/>
      <c r="K32" s="149" t="n"/>
      <c r="L32" s="149" t="n"/>
      <c r="M32" s="149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135" t="n"/>
      <c r="B33" s="135" t="n"/>
      <c r="C33" s="149" t="n"/>
      <c r="D33" s="149" t="n"/>
      <c r="E33" s="149" t="n"/>
      <c r="F33" s="149" t="n"/>
      <c r="G33" s="149" t="n"/>
      <c r="H33" s="149" t="n"/>
      <c r="I33" s="149" t="n"/>
      <c r="J33" s="149" t="n"/>
      <c r="K33" s="149" t="n"/>
      <c r="L33" s="149" t="n"/>
      <c r="M33" s="149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135" t="n"/>
      <c r="B34" s="135" t="n"/>
      <c r="C34" s="149" t="n"/>
      <c r="D34" s="149" t="n"/>
      <c r="E34" s="149" t="n"/>
      <c r="F34" s="149" t="n"/>
      <c r="G34" s="149" t="n"/>
      <c r="H34" s="149" t="n"/>
      <c r="I34" s="149" t="n"/>
      <c r="J34" s="149" t="n"/>
      <c r="K34" s="149" t="n"/>
      <c r="L34" s="149" t="n"/>
      <c r="M34" s="149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135" t="n"/>
      <c r="B35" s="135" t="n"/>
      <c r="C35" s="149" t="n"/>
      <c r="D35" s="149" t="n"/>
      <c r="E35" s="149" t="n"/>
      <c r="F35" s="149" t="n"/>
      <c r="G35" s="149" t="n"/>
      <c r="H35" s="149" t="n"/>
      <c r="I35" s="149" t="n"/>
      <c r="J35" s="149" t="n"/>
      <c r="K35" s="149" t="n"/>
      <c r="L35" s="149" t="n"/>
      <c r="M35" s="149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135" t="n"/>
      <c r="B36" s="135" t="n"/>
      <c r="C36" s="149" t="n"/>
      <c r="D36" s="149" t="n"/>
      <c r="E36" s="149" t="n"/>
      <c r="F36" s="149" t="n"/>
      <c r="G36" s="149" t="n"/>
      <c r="H36" s="149" t="n"/>
      <c r="I36" s="149" t="n"/>
      <c r="J36" s="149" t="n"/>
      <c r="K36" s="149" t="n"/>
      <c r="L36" s="149" t="n"/>
      <c r="M36" s="149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135" t="n"/>
      <c r="B37" s="135" t="n"/>
      <c r="C37" s="149" t="n"/>
      <c r="D37" s="149" t="n"/>
      <c r="E37" s="149" t="n"/>
      <c r="F37" s="149" t="n"/>
      <c r="G37" s="149" t="n"/>
      <c r="H37" s="149" t="n"/>
      <c r="I37" s="149" t="n"/>
      <c r="J37" s="149" t="n"/>
      <c r="K37" s="149" t="n"/>
      <c r="L37" s="149" t="n"/>
      <c r="M37" s="149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135" t="n"/>
      <c r="B38" s="135" t="n"/>
      <c r="C38" s="149" t="n"/>
      <c r="D38" s="149" t="n"/>
      <c r="E38" s="149" t="n"/>
      <c r="F38" s="149" t="n"/>
      <c r="G38" s="149" t="n"/>
      <c r="H38" s="149" t="n"/>
      <c r="I38" s="149" t="n"/>
      <c r="J38" s="149" t="n"/>
      <c r="K38" s="149" t="n"/>
      <c r="L38" s="149" t="n"/>
      <c r="M38" s="149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135" t="n"/>
      <c r="B39" s="135" t="n"/>
      <c r="C39" s="149" t="n"/>
      <c r="D39" s="149" t="n"/>
      <c r="E39" s="149" t="n"/>
      <c r="F39" s="149" t="n"/>
      <c r="G39" s="149" t="n"/>
      <c r="H39" s="149" t="n"/>
      <c r="I39" s="149" t="n"/>
      <c r="J39" s="149" t="n"/>
      <c r="K39" s="149" t="n"/>
      <c r="L39" s="149" t="n"/>
      <c r="M39" s="149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135" t="n"/>
      <c r="B40" s="135" t="n"/>
      <c r="C40" s="149" t="n"/>
      <c r="D40" s="149" t="n"/>
      <c r="E40" s="149" t="n"/>
      <c r="F40" s="149" t="n"/>
      <c r="G40" s="149" t="n"/>
      <c r="H40" s="149" t="n"/>
      <c r="I40" s="149" t="n"/>
      <c r="J40" s="149" t="n"/>
      <c r="K40" s="149" t="n"/>
      <c r="L40" s="149" t="n"/>
      <c r="M40" s="149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135" t="n"/>
      <c r="B41" s="135" t="n"/>
      <c r="C41" s="149" t="n"/>
      <c r="D41" s="149" t="n"/>
      <c r="E41" s="149" t="n"/>
      <c r="F41" s="149" t="n"/>
      <c r="G41" s="149" t="n"/>
      <c r="H41" s="149" t="n"/>
      <c r="I41" s="149" t="n"/>
      <c r="J41" s="149" t="n"/>
      <c r="K41" s="149" t="n"/>
      <c r="L41" s="149" t="n"/>
      <c r="M41" s="149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 hidden="1">
      <c r="A42" s="135" t="n"/>
      <c r="B42" s="135" t="n"/>
      <c r="C42" s="149" t="n"/>
      <c r="D42" s="149" t="n"/>
      <c r="E42" s="149" t="n"/>
      <c r="F42" s="149" t="n"/>
      <c r="G42" s="149" t="n"/>
      <c r="H42" s="149" t="n"/>
      <c r="I42" s="149" t="n"/>
      <c r="J42" s="149" t="n"/>
      <c r="K42" s="149" t="n"/>
      <c r="L42" s="149" t="n"/>
      <c r="M42" s="149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 hidden="1">
      <c r="A43" s="135" t="n"/>
      <c r="B43" s="135" t="n"/>
      <c r="C43" s="149" t="n"/>
      <c r="D43" s="149" t="n"/>
      <c r="E43" s="149" t="n"/>
      <c r="F43" s="149" t="n"/>
      <c r="G43" s="149" t="n"/>
      <c r="H43" s="149" t="n"/>
      <c r="I43" s="149" t="n"/>
      <c r="J43" s="149" t="n"/>
      <c r="K43" s="149" t="n"/>
      <c r="L43" s="149" t="n"/>
      <c r="M43" s="149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 hidden="1">
      <c r="A44" s="135" t="n"/>
      <c r="B44" s="135" t="n"/>
      <c r="C44" s="149" t="n"/>
      <c r="D44" s="149" t="n"/>
      <c r="E44" s="149" t="n"/>
      <c r="F44" s="149" t="n"/>
      <c r="G44" s="149" t="n"/>
      <c r="H44" s="149" t="n"/>
      <c r="I44" s="149" t="n"/>
      <c r="J44" s="149" t="n"/>
      <c r="K44" s="149" t="n"/>
      <c r="L44" s="149" t="n"/>
      <c r="M44" s="149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 hidden="1">
      <c r="A45" s="135" t="n"/>
      <c r="B45" s="135" t="n"/>
      <c r="C45" s="149" t="n"/>
      <c r="D45" s="149" t="n"/>
      <c r="E45" s="149" t="n"/>
      <c r="F45" s="149" t="n"/>
      <c r="G45" s="149" t="n"/>
      <c r="H45" s="149" t="n"/>
      <c r="I45" s="149" t="n"/>
      <c r="J45" s="149" t="n"/>
      <c r="K45" s="149" t="n"/>
      <c r="L45" s="149" t="n"/>
      <c r="M45" s="149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 hidden="1">
      <c r="A46" s="135" t="n"/>
      <c r="B46" s="135" t="n"/>
      <c r="C46" s="149" t="n"/>
      <c r="D46" s="149" t="n"/>
      <c r="E46" s="149" t="n"/>
      <c r="F46" s="149" t="n"/>
      <c r="G46" s="149" t="n"/>
      <c r="H46" s="149" t="n"/>
      <c r="I46" s="149" t="n"/>
      <c r="J46" s="149" t="n"/>
      <c r="K46" s="149" t="n"/>
      <c r="L46" s="149" t="n"/>
      <c r="M46" s="149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 hidden="1">
      <c r="A47" s="135" t="n"/>
      <c r="B47" s="135" t="n"/>
      <c r="C47" s="149" t="n"/>
      <c r="D47" s="149" t="n"/>
      <c r="E47" s="149" t="n"/>
      <c r="F47" s="149" t="n"/>
      <c r="G47" s="149" t="n"/>
      <c r="H47" s="149" t="n"/>
      <c r="I47" s="149" t="n"/>
      <c r="J47" s="149" t="n"/>
      <c r="K47" s="149" t="n"/>
      <c r="L47" s="149" t="n"/>
      <c r="M47" s="149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 hidden="1">
      <c r="A48" s="135" t="n"/>
      <c r="B48" s="135" t="n"/>
      <c r="C48" s="149" t="n"/>
      <c r="D48" s="149" t="n"/>
      <c r="E48" s="149" t="n"/>
      <c r="F48" s="149" t="n"/>
      <c r="G48" s="149" t="n"/>
      <c r="H48" s="149" t="n"/>
      <c r="I48" s="149" t="n"/>
      <c r="J48" s="149" t="n"/>
      <c r="K48" s="149" t="n"/>
      <c r="L48" s="149" t="n"/>
      <c r="M48" s="149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 hidden="1">
      <c r="A49" s="135" t="n"/>
      <c r="B49" s="135" t="n"/>
      <c r="C49" s="149" t="n"/>
      <c r="D49" s="149" t="n"/>
      <c r="E49" s="149" t="n"/>
      <c r="F49" s="149" t="n"/>
      <c r="G49" s="149" t="n"/>
      <c r="H49" s="149" t="n"/>
      <c r="I49" s="149" t="n"/>
      <c r="J49" s="149" t="n"/>
      <c r="K49" s="149" t="n"/>
      <c r="L49" s="149" t="n"/>
      <c r="M49" s="149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 hidden="1">
      <c r="A50" s="135" t="n"/>
      <c r="B50" s="135" t="n"/>
      <c r="C50" s="149" t="n"/>
      <c r="D50" s="149" t="n"/>
      <c r="E50" s="149" t="n"/>
      <c r="F50" s="149" t="n"/>
      <c r="G50" s="149" t="n"/>
      <c r="H50" s="149" t="n"/>
      <c r="I50" s="149" t="n"/>
      <c r="J50" s="149" t="n"/>
      <c r="K50" s="149" t="n"/>
      <c r="L50" s="149" t="n"/>
      <c r="M50" s="149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 hidden="1">
      <c r="A51" s="135" t="n"/>
      <c r="B51" s="135" t="n"/>
      <c r="C51" s="149" t="n"/>
      <c r="D51" s="149" t="n"/>
      <c r="E51" s="149" t="n"/>
      <c r="F51" s="149" t="n"/>
      <c r="G51" s="149" t="n"/>
      <c r="H51" s="149" t="n"/>
      <c r="I51" s="149" t="n"/>
      <c r="J51" s="149" t="n"/>
      <c r="K51" s="149" t="n"/>
      <c r="L51" s="149" t="n"/>
      <c r="M51" s="149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 hidden="1">
      <c r="A52" s="135" t="n"/>
      <c r="B52" s="135" t="n"/>
      <c r="C52" s="149" t="n"/>
      <c r="D52" s="149" t="n"/>
      <c r="E52" s="149" t="n"/>
      <c r="F52" s="149" t="n"/>
      <c r="G52" s="149" t="n"/>
      <c r="H52" s="149" t="n"/>
      <c r="I52" s="149" t="n"/>
      <c r="J52" s="149" t="n"/>
      <c r="K52" s="149" t="n"/>
      <c r="L52" s="149" t="n"/>
      <c r="M52" s="149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 hidden="1">
      <c r="A53" s="135" t="n"/>
      <c r="B53" s="135" t="n"/>
      <c r="C53" s="149" t="n"/>
      <c r="D53" s="149" t="n"/>
      <c r="E53" s="149" t="n"/>
      <c r="F53" s="149" t="n"/>
      <c r="G53" s="149" t="n"/>
      <c r="H53" s="149" t="n"/>
      <c r="I53" s="149" t="n"/>
      <c r="J53" s="149" t="n"/>
      <c r="K53" s="149" t="n"/>
      <c r="L53" s="149" t="n"/>
      <c r="M53" s="149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 hidden="1">
      <c r="A54" s="135" t="n"/>
      <c r="B54" s="135" t="n"/>
      <c r="C54" s="149" t="n"/>
      <c r="D54" s="149" t="n"/>
      <c r="E54" s="149" t="n"/>
      <c r="F54" s="149" t="n"/>
      <c r="G54" s="149" t="n"/>
      <c r="H54" s="149" t="n"/>
      <c r="I54" s="149" t="n"/>
      <c r="J54" s="149" t="n"/>
      <c r="K54" s="149" t="n"/>
      <c r="L54" s="149" t="n"/>
      <c r="M54" s="149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 hidden="1">
      <c r="A55" s="135" t="n"/>
      <c r="B55" s="135" t="n"/>
      <c r="C55" s="149" t="n"/>
      <c r="D55" s="149" t="n"/>
      <c r="E55" s="149" t="n"/>
      <c r="F55" s="149" t="n"/>
      <c r="G55" s="149" t="n"/>
      <c r="H55" s="149" t="n"/>
      <c r="I55" s="149" t="n"/>
      <c r="J55" s="149" t="n"/>
      <c r="K55" s="149" t="n"/>
      <c r="L55" s="149" t="n"/>
      <c r="M55" s="149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 hidden="1">
      <c r="A56" s="135" t="n"/>
      <c r="B56" s="135" t="n"/>
      <c r="C56" s="149" t="n"/>
      <c r="D56" s="149" t="n"/>
      <c r="E56" s="149" t="n"/>
      <c r="F56" s="149" t="n"/>
      <c r="G56" s="149" t="n"/>
      <c r="H56" s="149" t="n"/>
      <c r="I56" s="149" t="n"/>
      <c r="J56" s="149" t="n"/>
      <c r="K56" s="149" t="n"/>
      <c r="L56" s="149" t="n"/>
      <c r="M56" s="149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 hidden="1">
      <c r="A57" s="135" t="n"/>
      <c r="B57" s="135" t="n"/>
      <c r="C57" s="149" t="n"/>
      <c r="D57" s="149" t="n"/>
      <c r="E57" s="149" t="n"/>
      <c r="F57" s="149" t="n"/>
      <c r="G57" s="149" t="n"/>
      <c r="H57" s="149" t="n"/>
      <c r="I57" s="149" t="n"/>
      <c r="J57" s="149" t="n"/>
      <c r="K57" s="149" t="n"/>
      <c r="L57" s="149" t="n"/>
      <c r="M57" s="149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 hidden="1">
      <c r="A58" s="135" t="n"/>
      <c r="B58" s="135" t="n"/>
      <c r="C58" s="149" t="n"/>
      <c r="D58" s="149" t="n"/>
      <c r="E58" s="149" t="n"/>
      <c r="F58" s="149" t="n"/>
      <c r="G58" s="149" t="n"/>
      <c r="H58" s="149" t="n"/>
      <c r="I58" s="149" t="n"/>
      <c r="J58" s="149" t="n"/>
      <c r="K58" s="149" t="n"/>
      <c r="L58" s="149" t="n"/>
      <c r="M58" s="149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 hidden="1">
      <c r="A59" s="135" t="n"/>
      <c r="B59" s="135" t="n"/>
      <c r="C59" s="149" t="n"/>
      <c r="D59" s="149" t="n"/>
      <c r="E59" s="149" t="n"/>
      <c r="F59" s="149" t="n"/>
      <c r="G59" s="149" t="n"/>
      <c r="H59" s="149" t="n"/>
      <c r="I59" s="149" t="n"/>
      <c r="J59" s="149" t="n"/>
      <c r="K59" s="149" t="n"/>
      <c r="L59" s="149" t="n"/>
      <c r="M59" s="149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 hidden="1">
      <c r="A60" s="135" t="n"/>
      <c r="B60" s="135" t="n"/>
      <c r="C60" s="149" t="n"/>
      <c r="D60" s="149" t="n"/>
      <c r="E60" s="149" t="n"/>
      <c r="F60" s="149" t="n"/>
      <c r="G60" s="149" t="n"/>
      <c r="H60" s="149" t="n"/>
      <c r="I60" s="149" t="n"/>
      <c r="J60" s="149" t="n"/>
      <c r="K60" s="149" t="n"/>
      <c r="L60" s="149" t="n"/>
      <c r="M60" s="149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 hidden="1">
      <c r="A61" s="135" t="n"/>
      <c r="B61" s="135" t="n"/>
      <c r="C61" s="149" t="n"/>
      <c r="D61" s="149" t="n"/>
      <c r="E61" s="149" t="n"/>
      <c r="F61" s="149" t="n"/>
      <c r="G61" s="149" t="n"/>
      <c r="H61" s="149" t="n"/>
      <c r="I61" s="149" t="n"/>
      <c r="J61" s="149" t="n"/>
      <c r="K61" s="149" t="n"/>
      <c r="L61" s="149" t="n"/>
      <c r="M61" s="149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136" t="inlineStr">
        <is>
          <t>合计</t>
        </is>
      </c>
      <c r="B62" s="137" t="n"/>
      <c r="C62" s="150">
        <f>SUM(C6:C61)</f>
        <v/>
      </c>
      <c r="D62" s="150">
        <f>SUM(D6:D61)</f>
        <v/>
      </c>
      <c r="E62" s="150">
        <f>SUM(E6:E61)</f>
        <v/>
      </c>
      <c r="F62" s="150">
        <f>SUM(F6:F61)</f>
        <v/>
      </c>
      <c r="G62" s="150">
        <f>SUM(G6:G61)</f>
        <v/>
      </c>
      <c r="H62" s="150">
        <f>SUM(H6:H61)</f>
        <v/>
      </c>
      <c r="I62" s="150">
        <f>SUM(I6:I61)</f>
        <v/>
      </c>
      <c r="J62" s="150">
        <f>SUM(J6:J61)</f>
        <v/>
      </c>
      <c r="K62" s="150">
        <f>SUM(K6:K61)</f>
        <v/>
      </c>
      <c r="L62" s="150">
        <f>SUM(L6:L61)</f>
        <v/>
      </c>
      <c r="M62" s="150">
        <f>SUM(M6:M61)</f>
        <v/>
      </c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31" t="inlineStr">
        <is>
          <t>【HD】核对</t>
        </is>
      </c>
      <c r="B64" s="152" t="n"/>
      <c r="C64" s="152">
        <f>C62-历利调整后表!D25</f>
        <v/>
      </c>
      <c r="D64" s="152">
        <f>D62-历利调整后表!G25</f>
        <v/>
      </c>
      <c r="E64" s="152">
        <f>E62-历利调整后表!J25</f>
        <v/>
      </c>
      <c r="F64" s="152">
        <f>F62-历利调整后表!M25</f>
        <v/>
      </c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31" t="inlineStr">
        <is>
          <t>占营业收入比例（%）</t>
        </is>
      </c>
      <c r="B65" s="32" t="n"/>
      <c r="C65" s="33">
        <f>ROUND(C62/营业收入表!C17,4)</f>
        <v/>
      </c>
      <c r="D65" s="33">
        <f>ROUND(D62/营业收入表!D17,4)</f>
        <v/>
      </c>
      <c r="E65" s="33">
        <f>ROUND(E62/营业收入表!E17,4)</f>
        <v/>
      </c>
      <c r="F65" s="33">
        <f>ROUND(F62/营业收入表!F17,4)</f>
        <v/>
      </c>
      <c r="G65" s="33">
        <f>ROUND(G62/营业收入表!G17,4)</f>
        <v/>
      </c>
      <c r="H65" s="33">
        <f>ROUND(H62/营业收入表!H17,4)</f>
        <v/>
      </c>
      <c r="I65" s="33">
        <f>ROUND(I62/营业收入表!I17,4)</f>
        <v/>
      </c>
      <c r="J65" s="33">
        <f>ROUND(J62/营业收入表!J17,4)</f>
        <v/>
      </c>
      <c r="K65" s="33">
        <f>ROUND(K62/营业收入表!K17,4)</f>
        <v/>
      </c>
      <c r="L65" s="33">
        <f>ROUND(L62/营业收入表!L17,4)</f>
        <v/>
      </c>
      <c r="M65" s="33">
        <f>ROUND(M62/营业收入表!M17,4)</f>
        <v/>
      </c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31" t="inlineStr">
        <is>
          <t>人工核对</t>
        </is>
      </c>
      <c r="B66" s="32" t="n"/>
      <c r="C66" s="152">
        <f>C6-人工成本表!C29</f>
        <v/>
      </c>
      <c r="D66" s="152">
        <f>D6-人工成本表!D29</f>
        <v/>
      </c>
      <c r="E66" s="152">
        <f>E6-人工成本表!E29</f>
        <v/>
      </c>
      <c r="F66" s="152">
        <f>F6-人工成本表!F29</f>
        <v/>
      </c>
      <c r="G66" s="152">
        <f>G6-人工成本表!G29</f>
        <v/>
      </c>
      <c r="H66" s="152">
        <f>H6-人工成本表!H29</f>
        <v/>
      </c>
      <c r="I66" s="152">
        <f>I6-人工成本表!I29</f>
        <v/>
      </c>
      <c r="J66" s="152">
        <f>J6-人工成本表!J29</f>
        <v/>
      </c>
      <c r="K66" s="152">
        <f>K6-人工成本表!K29</f>
        <v/>
      </c>
      <c r="L66" s="152">
        <f>L6-人工成本表!L29</f>
        <v/>
      </c>
      <c r="M66" s="152">
        <f>M6-人工成本表!M29</f>
        <v/>
      </c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5">
    <mergeCell ref="A1:M1"/>
    <mergeCell ref="C4:F4"/>
    <mergeCell ref="A4:A5"/>
    <mergeCell ref="G4:M4"/>
    <mergeCell ref="A2:M2"/>
  </mergeCells>
  <conditionalFormatting sqref="B64:F64">
    <cfRule type="cellIs" priority="1" operator="notEqual" dxfId="0">
      <formula>0</formula>
    </cfRule>
  </conditionalFormatting>
  <conditionalFormatting sqref="C66:M66">
    <cfRule type="cellIs" priority="2" operator="notEqual" dxfId="0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66"/>
  <sheetViews>
    <sheetView workbookViewId="0">
      <pane xSplit="1" ySplit="5" topLeftCell="E6" activePane="bottomRight" state="frozen"/>
      <selection pane="topRight" activeCell="A1" sqref="A1"/>
      <selection pane="bottomLeft" activeCell="A1" sqref="A1"/>
      <selection pane="bottomRight" activeCell="F12" sqref="F12"/>
    </sheetView>
  </sheetViews>
  <sheetFormatPr baseColWidth="8" defaultColWidth="9.109375" defaultRowHeight="14.4"/>
  <cols>
    <col width="35" customWidth="1" style="1" min="1" max="1"/>
    <col hidden="1" width="15" customWidth="1" style="1" min="2" max="2"/>
    <col width="15" customWidth="1" style="1" min="3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管理费用分析预测表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121" t="inlineStr">
        <is>
          <t>项目</t>
        </is>
      </c>
      <c r="B4" s="121" t="n"/>
      <c r="C4" s="121" t="inlineStr">
        <is>
          <t>历史数据</t>
        </is>
      </c>
      <c r="D4" s="154" t="n"/>
      <c r="E4" s="154" t="n"/>
      <c r="F4" s="155" t="n"/>
      <c r="G4" s="124" t="inlineStr">
        <is>
          <t>未来预测</t>
        </is>
      </c>
      <c r="H4" s="154" t="n"/>
      <c r="I4" s="154" t="n"/>
      <c r="J4" s="154" t="n"/>
      <c r="K4" s="154" t="n"/>
      <c r="L4" s="154" t="n"/>
      <c r="M4" s="15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47" t="n"/>
      <c r="B5" s="121" t="n"/>
      <c r="C5" s="121" t="inlineStr">
        <is>
          <t>2022年度</t>
        </is>
      </c>
      <c r="D5" s="121" t="inlineStr">
        <is>
          <t>2023年度</t>
        </is>
      </c>
      <c r="E5" s="121" t="inlineStr">
        <is>
          <t>2024年度</t>
        </is>
      </c>
      <c r="F5" s="121" t="inlineStr">
        <is>
          <t>2025年1-6月</t>
        </is>
      </c>
      <c r="G5" s="124" t="inlineStr">
        <is>
          <t>2025年7-12月</t>
        </is>
      </c>
      <c r="H5" s="124" t="inlineStr">
        <is>
          <t>2026年度</t>
        </is>
      </c>
      <c r="I5" s="124" t="inlineStr">
        <is>
          <t>2027年度</t>
        </is>
      </c>
      <c r="J5" s="124" t="inlineStr">
        <is>
          <t>2028年度</t>
        </is>
      </c>
      <c r="K5" s="124" t="inlineStr">
        <is>
          <t>2029年度</t>
        </is>
      </c>
      <c r="L5" s="124" t="inlineStr">
        <is>
          <t>2030年度</t>
        </is>
      </c>
      <c r="M5" s="124" t="inlineStr">
        <is>
          <t>永续年度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22" t="inlineStr">
        <is>
          <t>人工</t>
        </is>
      </c>
      <c r="B6" s="135" t="n"/>
      <c r="C6" s="149" t="n"/>
      <c r="D6" s="149" t="n"/>
      <c r="E6" s="149" t="n"/>
      <c r="F6" s="149" t="n"/>
      <c r="G6" s="149" t="n"/>
      <c r="H6" s="149" t="n"/>
      <c r="I6" s="149" t="n"/>
      <c r="J6" s="149" t="n"/>
      <c r="K6" s="149" t="n"/>
      <c r="L6" s="149" t="n"/>
      <c r="M6" s="149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22" t="inlineStr">
        <is>
          <t>折旧</t>
        </is>
      </c>
      <c r="B7" s="135" t="n"/>
      <c r="C7" s="149" t="n"/>
      <c r="D7" s="149" t="n"/>
      <c r="E7" s="149" t="n"/>
      <c r="F7" s="149" t="n"/>
      <c r="G7" s="156">
        <f>折旧摊销、资本性支出表!G13</f>
        <v/>
      </c>
      <c r="H7" s="156">
        <f>折旧摊销、资本性支出表!H13</f>
        <v/>
      </c>
      <c r="I7" s="156">
        <f>折旧摊销、资本性支出表!I13</f>
        <v/>
      </c>
      <c r="J7" s="156">
        <f>折旧摊销、资本性支出表!J13</f>
        <v/>
      </c>
      <c r="K7" s="156">
        <f>折旧摊销、资本性支出表!K13</f>
        <v/>
      </c>
      <c r="L7" s="156">
        <f>折旧摊销、资本性支出表!L13</f>
        <v/>
      </c>
      <c r="M7" s="156">
        <f>折旧摊销、资本性支出表!M13</f>
        <v/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22" t="inlineStr">
        <is>
          <t>摊销</t>
        </is>
      </c>
      <c r="B8" s="135" t="n"/>
      <c r="C8" s="149" t="n"/>
      <c r="D8" s="149" t="n"/>
      <c r="E8" s="149" t="n"/>
      <c r="F8" s="149" t="n"/>
      <c r="G8" s="156">
        <f>折旧摊销、资本性支出表!G14</f>
        <v/>
      </c>
      <c r="H8" s="156">
        <f>折旧摊销、资本性支出表!H14</f>
        <v/>
      </c>
      <c r="I8" s="156">
        <f>折旧摊销、资本性支出表!I14</f>
        <v/>
      </c>
      <c r="J8" s="156">
        <f>折旧摊销、资本性支出表!J14</f>
        <v/>
      </c>
      <c r="K8" s="156">
        <f>折旧摊销、资本性支出表!K14</f>
        <v/>
      </c>
      <c r="L8" s="156">
        <f>折旧摊销、资本性支出表!L14</f>
        <v/>
      </c>
      <c r="M8" s="156">
        <f>折旧摊销、资本性支出表!M14</f>
        <v/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22" t="inlineStr">
        <is>
          <t>业务招待费</t>
        </is>
      </c>
      <c r="B9" s="135" t="n"/>
      <c r="C9" s="149" t="n"/>
      <c r="D9" s="149" t="n"/>
      <c r="E9" s="149" t="n"/>
      <c r="F9" s="149" t="n"/>
      <c r="G9" s="149" t="n"/>
      <c r="H9" s="149" t="n"/>
      <c r="I9" s="149" t="n"/>
      <c r="J9" s="149" t="n"/>
      <c r="K9" s="149" t="n"/>
      <c r="L9" s="149" t="n"/>
      <c r="M9" s="149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122" t="inlineStr">
        <is>
          <t>使用权资产折旧</t>
        </is>
      </c>
      <c r="B10" s="135" t="n"/>
      <c r="C10" s="149" t="n"/>
      <c r="D10" s="149" t="n"/>
      <c r="E10" s="149" t="n"/>
      <c r="F10" s="149" t="n"/>
      <c r="G10" s="149" t="n"/>
      <c r="H10" s="149" t="n"/>
      <c r="I10" s="149" t="n"/>
      <c r="J10" s="149" t="n"/>
      <c r="K10" s="149" t="n"/>
      <c r="L10" s="149" t="n"/>
      <c r="M10" s="149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122" t="inlineStr">
        <is>
          <t>房屋租赁费</t>
        </is>
      </c>
      <c r="B11" s="135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135" t="inlineStr">
        <is>
          <t>其他</t>
        </is>
      </c>
      <c r="B12" s="135" t="n"/>
      <c r="C12" s="149" t="n"/>
      <c r="D12" s="149" t="n"/>
      <c r="E12" s="149" t="n"/>
      <c r="F12" s="149" t="n"/>
      <c r="G12" s="149" t="n"/>
      <c r="H12" s="149" t="n"/>
      <c r="I12" s="149" t="n"/>
      <c r="J12" s="149" t="n"/>
      <c r="K12" s="149" t="n"/>
      <c r="L12" s="149" t="n"/>
      <c r="M12" s="149">
        <f>L12</f>
        <v/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135" t="n"/>
      <c r="B13" s="135" t="n"/>
      <c r="C13" s="149" t="n"/>
      <c r="D13" s="149" t="n"/>
      <c r="E13" s="149" t="n"/>
      <c r="F13" s="149" t="n"/>
      <c r="G13" s="149" t="n"/>
      <c r="H13" s="149" t="n"/>
      <c r="I13" s="149" t="n"/>
      <c r="J13" s="149" t="n"/>
      <c r="K13" s="149" t="n"/>
      <c r="L13" s="149" t="n"/>
      <c r="M13" s="149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135" t="n"/>
      <c r="B14" s="135" t="n"/>
      <c r="C14" s="149" t="n"/>
      <c r="D14" s="149" t="n"/>
      <c r="E14" s="149" t="n"/>
      <c r="F14" s="149" t="n"/>
      <c r="G14" s="149" t="n"/>
      <c r="H14" s="149" t="n"/>
      <c r="I14" s="149" t="n"/>
      <c r="J14" s="149" t="n"/>
      <c r="K14" s="149" t="n"/>
      <c r="L14" s="149" t="n"/>
      <c r="M14" s="149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135" t="n"/>
      <c r="B15" s="135" t="n"/>
      <c r="C15" s="149" t="n"/>
      <c r="D15" s="149" t="n"/>
      <c r="E15" s="149" t="n"/>
      <c r="F15" s="149" t="n"/>
      <c r="G15" s="149" t="n"/>
      <c r="H15" s="149" t="n"/>
      <c r="I15" s="149" t="n"/>
      <c r="J15" s="149" t="n"/>
      <c r="K15" s="149" t="n"/>
      <c r="L15" s="149" t="n"/>
      <c r="M15" s="149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135" t="n"/>
      <c r="B16" s="135" t="n"/>
      <c r="C16" s="149" t="n"/>
      <c r="D16" s="149" t="n"/>
      <c r="E16" s="149" t="n"/>
      <c r="F16" s="149" t="n"/>
      <c r="G16" s="149" t="n"/>
      <c r="H16" s="149" t="n"/>
      <c r="I16" s="149" t="n"/>
      <c r="J16" s="149" t="n"/>
      <c r="K16" s="149" t="n"/>
      <c r="L16" s="149" t="n"/>
      <c r="M16" s="149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135" t="n"/>
      <c r="B17" s="135" t="n"/>
      <c r="C17" s="149" t="n"/>
      <c r="D17" s="149" t="n"/>
      <c r="E17" s="149" t="n"/>
      <c r="F17" s="149" t="n"/>
      <c r="G17" s="149" t="n"/>
      <c r="H17" s="149" t="n"/>
      <c r="I17" s="149" t="n"/>
      <c r="J17" s="149" t="n"/>
      <c r="K17" s="149" t="n"/>
      <c r="L17" s="149" t="n"/>
      <c r="M17" s="149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135" t="n"/>
      <c r="B18" s="135" t="n"/>
      <c r="C18" s="149" t="n"/>
      <c r="D18" s="149" t="n"/>
      <c r="E18" s="149" t="n"/>
      <c r="F18" s="149" t="n"/>
      <c r="G18" s="149" t="n"/>
      <c r="H18" s="149" t="n"/>
      <c r="I18" s="149" t="n"/>
      <c r="J18" s="149" t="n"/>
      <c r="K18" s="149" t="n"/>
      <c r="L18" s="149" t="n"/>
      <c r="M18" s="149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135" t="n"/>
      <c r="B19" s="135" t="n"/>
      <c r="C19" s="149" t="n"/>
      <c r="D19" s="149" t="n"/>
      <c r="E19" s="149" t="n"/>
      <c r="F19" s="149" t="n"/>
      <c r="G19" s="149" t="n"/>
      <c r="H19" s="149" t="n"/>
      <c r="I19" s="149" t="n"/>
      <c r="J19" s="149" t="n"/>
      <c r="K19" s="149" t="n"/>
      <c r="L19" s="149" t="n"/>
      <c r="M19" s="149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135" t="n"/>
      <c r="B20" s="135" t="n"/>
      <c r="C20" s="149" t="n"/>
      <c r="D20" s="149" t="n"/>
      <c r="E20" s="149" t="n"/>
      <c r="F20" s="149" t="n"/>
      <c r="G20" s="149" t="n"/>
      <c r="H20" s="149" t="n"/>
      <c r="I20" s="149" t="n"/>
      <c r="J20" s="149" t="n"/>
      <c r="K20" s="149" t="n"/>
      <c r="L20" s="149" t="n"/>
      <c r="M20" s="149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135" t="n"/>
      <c r="B21" s="135" t="n"/>
      <c r="C21" s="149" t="n"/>
      <c r="D21" s="149" t="n"/>
      <c r="E21" s="149" t="n"/>
      <c r="F21" s="149" t="n"/>
      <c r="G21" s="149" t="n"/>
      <c r="H21" s="149" t="n"/>
      <c r="I21" s="149" t="n"/>
      <c r="J21" s="149" t="n"/>
      <c r="K21" s="149" t="n"/>
      <c r="L21" s="149" t="n"/>
      <c r="M21" s="149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135" t="n"/>
      <c r="B22" s="135" t="n"/>
      <c r="C22" s="149" t="n"/>
      <c r="D22" s="149" t="n"/>
      <c r="E22" s="149" t="n"/>
      <c r="F22" s="149" t="n"/>
      <c r="G22" s="149" t="n"/>
      <c r="H22" s="149" t="n"/>
      <c r="I22" s="149" t="n"/>
      <c r="J22" s="149" t="n"/>
      <c r="K22" s="149" t="n"/>
      <c r="L22" s="149" t="n"/>
      <c r="M22" s="149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135" t="n"/>
      <c r="B23" s="135" t="n"/>
      <c r="C23" s="149" t="n"/>
      <c r="D23" s="149" t="n"/>
      <c r="E23" s="149" t="n"/>
      <c r="F23" s="149" t="n"/>
      <c r="G23" s="149" t="n"/>
      <c r="H23" s="149" t="n"/>
      <c r="I23" s="149" t="n"/>
      <c r="J23" s="149" t="n"/>
      <c r="K23" s="149" t="n"/>
      <c r="L23" s="149" t="n"/>
      <c r="M23" s="149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135" t="n"/>
      <c r="B24" s="135" t="n"/>
      <c r="C24" s="149" t="n"/>
      <c r="D24" s="149" t="n"/>
      <c r="E24" s="149" t="n"/>
      <c r="F24" s="149" t="n"/>
      <c r="G24" s="149" t="n"/>
      <c r="H24" s="149" t="n"/>
      <c r="I24" s="149" t="n"/>
      <c r="J24" s="149" t="n"/>
      <c r="K24" s="149" t="n"/>
      <c r="L24" s="149" t="n"/>
      <c r="M24" s="149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135" t="n"/>
      <c r="B25" s="135" t="n"/>
      <c r="C25" s="149" t="n"/>
      <c r="D25" s="149" t="n"/>
      <c r="E25" s="149" t="n"/>
      <c r="F25" s="149" t="n"/>
      <c r="G25" s="149" t="n"/>
      <c r="H25" s="149" t="n"/>
      <c r="I25" s="149" t="n"/>
      <c r="J25" s="149" t="n"/>
      <c r="K25" s="149" t="n"/>
      <c r="L25" s="149" t="n"/>
      <c r="M25" s="149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135" t="n"/>
      <c r="B26" s="135" t="n"/>
      <c r="C26" s="149" t="n"/>
      <c r="D26" s="149" t="n"/>
      <c r="E26" s="149" t="n"/>
      <c r="F26" s="149" t="n"/>
      <c r="G26" s="149" t="n"/>
      <c r="H26" s="149" t="n"/>
      <c r="I26" s="149" t="n"/>
      <c r="J26" s="149" t="n"/>
      <c r="K26" s="149" t="n"/>
      <c r="L26" s="149" t="n"/>
      <c r="M26" s="149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135" t="n"/>
      <c r="B27" s="135" t="n"/>
      <c r="C27" s="149" t="n"/>
      <c r="D27" s="149" t="n"/>
      <c r="E27" s="149" t="n"/>
      <c r="F27" s="149" t="n"/>
      <c r="G27" s="149" t="n"/>
      <c r="H27" s="149" t="n"/>
      <c r="I27" s="149" t="n"/>
      <c r="J27" s="149" t="n"/>
      <c r="K27" s="149" t="n"/>
      <c r="L27" s="149" t="n"/>
      <c r="M27" s="149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135" t="n"/>
      <c r="B28" s="135" t="n"/>
      <c r="C28" s="149" t="n"/>
      <c r="D28" s="149" t="n"/>
      <c r="E28" s="149" t="n"/>
      <c r="F28" s="149" t="n"/>
      <c r="G28" s="149" t="n"/>
      <c r="H28" s="149" t="n"/>
      <c r="I28" s="149" t="n"/>
      <c r="J28" s="149" t="n"/>
      <c r="K28" s="149" t="n"/>
      <c r="L28" s="149" t="n"/>
      <c r="M28" s="149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135" t="n"/>
      <c r="B29" s="135" t="n"/>
      <c r="C29" s="149" t="n"/>
      <c r="D29" s="149" t="n"/>
      <c r="E29" s="149" t="n"/>
      <c r="F29" s="149" t="n"/>
      <c r="G29" s="149" t="n"/>
      <c r="H29" s="149" t="n"/>
      <c r="I29" s="149" t="n"/>
      <c r="J29" s="149" t="n"/>
      <c r="K29" s="149" t="n"/>
      <c r="L29" s="149" t="n"/>
      <c r="M29" s="149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135" t="n"/>
      <c r="B30" s="135" t="n"/>
      <c r="C30" s="149" t="n"/>
      <c r="D30" s="149" t="n"/>
      <c r="E30" s="149" t="n"/>
      <c r="F30" s="149" t="n"/>
      <c r="G30" s="149" t="n"/>
      <c r="H30" s="149" t="n"/>
      <c r="I30" s="149" t="n"/>
      <c r="J30" s="149" t="n"/>
      <c r="K30" s="149" t="n"/>
      <c r="L30" s="149" t="n"/>
      <c r="M30" s="149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135" t="n"/>
      <c r="B31" s="135" t="n"/>
      <c r="C31" s="149" t="n"/>
      <c r="D31" s="149" t="n"/>
      <c r="E31" s="149" t="n"/>
      <c r="F31" s="149" t="n"/>
      <c r="G31" s="149" t="n"/>
      <c r="H31" s="149" t="n"/>
      <c r="I31" s="149" t="n"/>
      <c r="J31" s="149" t="n"/>
      <c r="K31" s="149" t="n"/>
      <c r="L31" s="149" t="n"/>
      <c r="M31" s="149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135" t="n"/>
      <c r="B32" s="135" t="n"/>
      <c r="C32" s="149" t="n"/>
      <c r="D32" s="149" t="n"/>
      <c r="E32" s="149" t="n"/>
      <c r="F32" s="149" t="n"/>
      <c r="G32" s="149" t="n"/>
      <c r="H32" s="149" t="n"/>
      <c r="I32" s="149" t="n"/>
      <c r="J32" s="149" t="n"/>
      <c r="K32" s="149" t="n"/>
      <c r="L32" s="149" t="n"/>
      <c r="M32" s="149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135" t="n"/>
      <c r="B33" s="135" t="n"/>
      <c r="C33" s="149" t="n"/>
      <c r="D33" s="149" t="n"/>
      <c r="E33" s="149" t="n"/>
      <c r="F33" s="149" t="n"/>
      <c r="G33" s="149" t="n"/>
      <c r="H33" s="149" t="n"/>
      <c r="I33" s="149" t="n"/>
      <c r="J33" s="149" t="n"/>
      <c r="K33" s="149" t="n"/>
      <c r="L33" s="149" t="n"/>
      <c r="M33" s="149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135" t="n"/>
      <c r="B34" s="135" t="n"/>
      <c r="C34" s="149" t="n"/>
      <c r="D34" s="149" t="n"/>
      <c r="E34" s="149" t="n"/>
      <c r="F34" s="149" t="n"/>
      <c r="G34" s="149" t="n"/>
      <c r="H34" s="149" t="n"/>
      <c r="I34" s="149" t="n"/>
      <c r="J34" s="149" t="n"/>
      <c r="K34" s="149" t="n"/>
      <c r="L34" s="149" t="n"/>
      <c r="M34" s="149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135" t="n"/>
      <c r="B35" s="135" t="n"/>
      <c r="C35" s="149" t="n"/>
      <c r="D35" s="149" t="n"/>
      <c r="E35" s="149" t="n"/>
      <c r="F35" s="149" t="n"/>
      <c r="G35" s="149" t="n"/>
      <c r="H35" s="149" t="n"/>
      <c r="I35" s="149" t="n"/>
      <c r="J35" s="149" t="n"/>
      <c r="K35" s="149" t="n"/>
      <c r="L35" s="149" t="n"/>
      <c r="M35" s="149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135" t="n"/>
      <c r="B36" s="135" t="n"/>
      <c r="C36" s="149" t="n"/>
      <c r="D36" s="149" t="n"/>
      <c r="E36" s="149" t="n"/>
      <c r="F36" s="149" t="n"/>
      <c r="G36" s="149" t="n"/>
      <c r="H36" s="149" t="n"/>
      <c r="I36" s="149" t="n"/>
      <c r="J36" s="149" t="n"/>
      <c r="K36" s="149" t="n"/>
      <c r="L36" s="149" t="n"/>
      <c r="M36" s="149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135" t="n"/>
      <c r="B37" s="135" t="n"/>
      <c r="C37" s="149" t="n"/>
      <c r="D37" s="149" t="n"/>
      <c r="E37" s="149" t="n"/>
      <c r="F37" s="149" t="n"/>
      <c r="G37" s="149" t="n"/>
      <c r="H37" s="149" t="n"/>
      <c r="I37" s="149" t="n"/>
      <c r="J37" s="149" t="n"/>
      <c r="K37" s="149" t="n"/>
      <c r="L37" s="149" t="n"/>
      <c r="M37" s="149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135" t="n"/>
      <c r="B38" s="135" t="n"/>
      <c r="C38" s="149" t="n"/>
      <c r="D38" s="149" t="n"/>
      <c r="E38" s="149" t="n"/>
      <c r="F38" s="149" t="n"/>
      <c r="G38" s="149" t="n"/>
      <c r="H38" s="149" t="n"/>
      <c r="I38" s="149" t="n"/>
      <c r="J38" s="149" t="n"/>
      <c r="K38" s="149" t="n"/>
      <c r="L38" s="149" t="n"/>
      <c r="M38" s="149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135" t="n"/>
      <c r="B39" s="135" t="n"/>
      <c r="C39" s="149" t="n"/>
      <c r="D39" s="149" t="n"/>
      <c r="E39" s="149" t="n"/>
      <c r="F39" s="149" t="n"/>
      <c r="G39" s="149" t="n"/>
      <c r="H39" s="149" t="n"/>
      <c r="I39" s="149" t="n"/>
      <c r="J39" s="149" t="n"/>
      <c r="K39" s="149" t="n"/>
      <c r="L39" s="149" t="n"/>
      <c r="M39" s="149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135" t="n"/>
      <c r="B40" s="135" t="n"/>
      <c r="C40" s="149" t="n"/>
      <c r="D40" s="149" t="n"/>
      <c r="E40" s="149" t="n"/>
      <c r="F40" s="149" t="n"/>
      <c r="G40" s="149" t="n"/>
      <c r="H40" s="149" t="n"/>
      <c r="I40" s="149" t="n"/>
      <c r="J40" s="149" t="n"/>
      <c r="K40" s="149" t="n"/>
      <c r="L40" s="149" t="n"/>
      <c r="M40" s="149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135" t="n"/>
      <c r="B41" s="135" t="n"/>
      <c r="C41" s="149" t="n"/>
      <c r="D41" s="149" t="n"/>
      <c r="E41" s="149" t="n"/>
      <c r="F41" s="149" t="n"/>
      <c r="G41" s="149" t="n"/>
      <c r="H41" s="149" t="n"/>
      <c r="I41" s="149" t="n"/>
      <c r="J41" s="149" t="n"/>
      <c r="K41" s="149" t="n"/>
      <c r="L41" s="149" t="n"/>
      <c r="M41" s="149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 hidden="1">
      <c r="A42" s="135" t="n"/>
      <c r="B42" s="135" t="n"/>
      <c r="C42" s="149" t="n"/>
      <c r="D42" s="149" t="n"/>
      <c r="E42" s="149" t="n"/>
      <c r="F42" s="149" t="n"/>
      <c r="G42" s="149" t="n"/>
      <c r="H42" s="149" t="n"/>
      <c r="I42" s="149" t="n"/>
      <c r="J42" s="149" t="n"/>
      <c r="K42" s="149" t="n"/>
      <c r="L42" s="149" t="n"/>
      <c r="M42" s="149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 hidden="1">
      <c r="A43" s="135" t="n"/>
      <c r="B43" s="135" t="n"/>
      <c r="C43" s="149" t="n"/>
      <c r="D43" s="149" t="n"/>
      <c r="E43" s="149" t="n"/>
      <c r="F43" s="149" t="n"/>
      <c r="G43" s="149" t="n"/>
      <c r="H43" s="149" t="n"/>
      <c r="I43" s="149" t="n"/>
      <c r="J43" s="149" t="n"/>
      <c r="K43" s="149" t="n"/>
      <c r="L43" s="149" t="n"/>
      <c r="M43" s="149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 hidden="1">
      <c r="A44" s="135" t="n"/>
      <c r="B44" s="135" t="n"/>
      <c r="C44" s="149" t="n"/>
      <c r="D44" s="149" t="n"/>
      <c r="E44" s="149" t="n"/>
      <c r="F44" s="149" t="n"/>
      <c r="G44" s="149" t="n"/>
      <c r="H44" s="149" t="n"/>
      <c r="I44" s="149" t="n"/>
      <c r="J44" s="149" t="n"/>
      <c r="K44" s="149" t="n"/>
      <c r="L44" s="149" t="n"/>
      <c r="M44" s="149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 hidden="1">
      <c r="A45" s="135" t="n"/>
      <c r="B45" s="135" t="n"/>
      <c r="C45" s="149" t="n"/>
      <c r="D45" s="149" t="n"/>
      <c r="E45" s="149" t="n"/>
      <c r="F45" s="149" t="n"/>
      <c r="G45" s="149" t="n"/>
      <c r="H45" s="149" t="n"/>
      <c r="I45" s="149" t="n"/>
      <c r="J45" s="149" t="n"/>
      <c r="K45" s="149" t="n"/>
      <c r="L45" s="149" t="n"/>
      <c r="M45" s="149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 hidden="1">
      <c r="A46" s="135" t="n"/>
      <c r="B46" s="135" t="n"/>
      <c r="C46" s="149" t="n"/>
      <c r="D46" s="149" t="n"/>
      <c r="E46" s="149" t="n"/>
      <c r="F46" s="149" t="n"/>
      <c r="G46" s="149" t="n"/>
      <c r="H46" s="149" t="n"/>
      <c r="I46" s="149" t="n"/>
      <c r="J46" s="149" t="n"/>
      <c r="K46" s="149" t="n"/>
      <c r="L46" s="149" t="n"/>
      <c r="M46" s="149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 hidden="1">
      <c r="A47" s="135" t="n"/>
      <c r="B47" s="135" t="n"/>
      <c r="C47" s="149" t="n"/>
      <c r="D47" s="149" t="n"/>
      <c r="E47" s="149" t="n"/>
      <c r="F47" s="149" t="n"/>
      <c r="G47" s="149" t="n"/>
      <c r="H47" s="149" t="n"/>
      <c r="I47" s="149" t="n"/>
      <c r="J47" s="149" t="n"/>
      <c r="K47" s="149" t="n"/>
      <c r="L47" s="149" t="n"/>
      <c r="M47" s="149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 hidden="1">
      <c r="A48" s="135" t="n"/>
      <c r="B48" s="135" t="n"/>
      <c r="C48" s="149" t="n"/>
      <c r="D48" s="149" t="n"/>
      <c r="E48" s="149" t="n"/>
      <c r="F48" s="149" t="n"/>
      <c r="G48" s="149" t="n"/>
      <c r="H48" s="149" t="n"/>
      <c r="I48" s="149" t="n"/>
      <c r="J48" s="149" t="n"/>
      <c r="K48" s="149" t="n"/>
      <c r="L48" s="149" t="n"/>
      <c r="M48" s="149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 hidden="1">
      <c r="A49" s="135" t="n"/>
      <c r="B49" s="135" t="n"/>
      <c r="C49" s="149" t="n"/>
      <c r="D49" s="149" t="n"/>
      <c r="E49" s="149" t="n"/>
      <c r="F49" s="149" t="n"/>
      <c r="G49" s="149" t="n"/>
      <c r="H49" s="149" t="n"/>
      <c r="I49" s="149" t="n"/>
      <c r="J49" s="149" t="n"/>
      <c r="K49" s="149" t="n"/>
      <c r="L49" s="149" t="n"/>
      <c r="M49" s="149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 hidden="1">
      <c r="A50" s="135" t="n"/>
      <c r="B50" s="135" t="n"/>
      <c r="C50" s="149" t="n"/>
      <c r="D50" s="149" t="n"/>
      <c r="E50" s="149" t="n"/>
      <c r="F50" s="149" t="n"/>
      <c r="G50" s="149" t="n"/>
      <c r="H50" s="149" t="n"/>
      <c r="I50" s="149" t="n"/>
      <c r="J50" s="149" t="n"/>
      <c r="K50" s="149" t="n"/>
      <c r="L50" s="149" t="n"/>
      <c r="M50" s="149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 hidden="1">
      <c r="A51" s="135" t="n"/>
      <c r="B51" s="135" t="n"/>
      <c r="C51" s="149" t="n"/>
      <c r="D51" s="149" t="n"/>
      <c r="E51" s="149" t="n"/>
      <c r="F51" s="149" t="n"/>
      <c r="G51" s="149" t="n"/>
      <c r="H51" s="149" t="n"/>
      <c r="I51" s="149" t="n"/>
      <c r="J51" s="149" t="n"/>
      <c r="K51" s="149" t="n"/>
      <c r="L51" s="149" t="n"/>
      <c r="M51" s="149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 hidden="1">
      <c r="A52" s="135" t="n"/>
      <c r="B52" s="135" t="n"/>
      <c r="C52" s="149" t="n"/>
      <c r="D52" s="149" t="n"/>
      <c r="E52" s="149" t="n"/>
      <c r="F52" s="149" t="n"/>
      <c r="G52" s="149" t="n"/>
      <c r="H52" s="149" t="n"/>
      <c r="I52" s="149" t="n"/>
      <c r="J52" s="149" t="n"/>
      <c r="K52" s="149" t="n"/>
      <c r="L52" s="149" t="n"/>
      <c r="M52" s="149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 hidden="1">
      <c r="A53" s="135" t="n"/>
      <c r="B53" s="135" t="n"/>
      <c r="C53" s="149" t="n"/>
      <c r="D53" s="149" t="n"/>
      <c r="E53" s="149" t="n"/>
      <c r="F53" s="149" t="n"/>
      <c r="G53" s="149" t="n"/>
      <c r="H53" s="149" t="n"/>
      <c r="I53" s="149" t="n"/>
      <c r="J53" s="149" t="n"/>
      <c r="K53" s="149" t="n"/>
      <c r="L53" s="149" t="n"/>
      <c r="M53" s="149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 hidden="1">
      <c r="A54" s="135" t="n"/>
      <c r="B54" s="135" t="n"/>
      <c r="C54" s="149" t="n"/>
      <c r="D54" s="149" t="n"/>
      <c r="E54" s="149" t="n"/>
      <c r="F54" s="149" t="n"/>
      <c r="G54" s="149" t="n"/>
      <c r="H54" s="149" t="n"/>
      <c r="I54" s="149" t="n"/>
      <c r="J54" s="149" t="n"/>
      <c r="K54" s="149" t="n"/>
      <c r="L54" s="149" t="n"/>
      <c r="M54" s="149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 hidden="1">
      <c r="A55" s="135" t="n"/>
      <c r="B55" s="135" t="n"/>
      <c r="C55" s="149" t="n"/>
      <c r="D55" s="149" t="n"/>
      <c r="E55" s="149" t="n"/>
      <c r="F55" s="149" t="n"/>
      <c r="G55" s="149" t="n"/>
      <c r="H55" s="149" t="n"/>
      <c r="I55" s="149" t="n"/>
      <c r="J55" s="149" t="n"/>
      <c r="K55" s="149" t="n"/>
      <c r="L55" s="149" t="n"/>
      <c r="M55" s="149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 hidden="1">
      <c r="A56" s="135" t="n"/>
      <c r="B56" s="135" t="n"/>
      <c r="C56" s="149" t="n"/>
      <c r="D56" s="149" t="n"/>
      <c r="E56" s="149" t="n"/>
      <c r="F56" s="149" t="n"/>
      <c r="G56" s="149" t="n"/>
      <c r="H56" s="149" t="n"/>
      <c r="I56" s="149" t="n"/>
      <c r="J56" s="149" t="n"/>
      <c r="K56" s="149" t="n"/>
      <c r="L56" s="149" t="n"/>
      <c r="M56" s="149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 hidden="1">
      <c r="A57" s="135" t="n"/>
      <c r="B57" s="135" t="n"/>
      <c r="C57" s="149" t="n"/>
      <c r="D57" s="149" t="n"/>
      <c r="E57" s="149" t="n"/>
      <c r="F57" s="149" t="n"/>
      <c r="G57" s="149" t="n"/>
      <c r="H57" s="149" t="n"/>
      <c r="I57" s="149" t="n"/>
      <c r="J57" s="149" t="n"/>
      <c r="K57" s="149" t="n"/>
      <c r="L57" s="149" t="n"/>
      <c r="M57" s="149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 hidden="1">
      <c r="A58" s="135" t="n"/>
      <c r="B58" s="135" t="n"/>
      <c r="C58" s="149" t="n"/>
      <c r="D58" s="149" t="n"/>
      <c r="E58" s="149" t="n"/>
      <c r="F58" s="149" t="n"/>
      <c r="G58" s="149" t="n"/>
      <c r="H58" s="149" t="n"/>
      <c r="I58" s="149" t="n"/>
      <c r="J58" s="149" t="n"/>
      <c r="K58" s="149" t="n"/>
      <c r="L58" s="149" t="n"/>
      <c r="M58" s="149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 hidden="1">
      <c r="A59" s="135" t="n"/>
      <c r="B59" s="135" t="n"/>
      <c r="C59" s="149" t="n"/>
      <c r="D59" s="149" t="n"/>
      <c r="E59" s="149" t="n"/>
      <c r="F59" s="149" t="n"/>
      <c r="G59" s="149" t="n"/>
      <c r="H59" s="149" t="n"/>
      <c r="I59" s="149" t="n"/>
      <c r="J59" s="149" t="n"/>
      <c r="K59" s="149" t="n"/>
      <c r="L59" s="149" t="n"/>
      <c r="M59" s="149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 hidden="1">
      <c r="A60" s="135" t="n"/>
      <c r="B60" s="135" t="n"/>
      <c r="C60" s="149" t="n"/>
      <c r="D60" s="149" t="n"/>
      <c r="E60" s="149" t="n"/>
      <c r="F60" s="149" t="n"/>
      <c r="G60" s="149" t="n"/>
      <c r="H60" s="149" t="n"/>
      <c r="I60" s="149" t="n"/>
      <c r="J60" s="149" t="n"/>
      <c r="K60" s="149" t="n"/>
      <c r="L60" s="149" t="n"/>
      <c r="M60" s="149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 hidden="1">
      <c r="A61" s="135" t="n"/>
      <c r="B61" s="135" t="n"/>
      <c r="C61" s="149" t="n"/>
      <c r="D61" s="149" t="n"/>
      <c r="E61" s="149" t="n"/>
      <c r="F61" s="149" t="n"/>
      <c r="G61" s="149" t="n"/>
      <c r="H61" s="149" t="n"/>
      <c r="I61" s="149" t="n"/>
      <c r="J61" s="149" t="n"/>
      <c r="K61" s="149" t="n"/>
      <c r="L61" s="149" t="n"/>
      <c r="M61" s="149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136" t="inlineStr">
        <is>
          <t>合计</t>
        </is>
      </c>
      <c r="B62" s="137" t="n"/>
      <c r="C62" s="150">
        <f>SUM(C6:C61)</f>
        <v/>
      </c>
      <c r="D62" s="150">
        <f>SUM(D6:D61)</f>
        <v/>
      </c>
      <c r="E62" s="150">
        <f>SUM(E6:E61)</f>
        <v/>
      </c>
      <c r="F62" s="150">
        <f>SUM(F6:F61)</f>
        <v/>
      </c>
      <c r="G62" s="150">
        <f>SUM(G6:G61)</f>
        <v/>
      </c>
      <c r="H62" s="150">
        <f>SUM(H6:H61)</f>
        <v/>
      </c>
      <c r="I62" s="150">
        <f>SUM(I6:I61)</f>
        <v/>
      </c>
      <c r="J62" s="150">
        <f>SUM(J6:J61)</f>
        <v/>
      </c>
      <c r="K62" s="150">
        <f>SUM(K6:K61)</f>
        <v/>
      </c>
      <c r="L62" s="150">
        <f>SUM(L6:L61)</f>
        <v/>
      </c>
      <c r="M62" s="150">
        <f>SUM(M6:M61)</f>
        <v/>
      </c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31" t="inlineStr">
        <is>
          <t>【HD】核对</t>
        </is>
      </c>
      <c r="B64" s="152" t="n"/>
      <c r="C64" s="152">
        <f>C62-历利调整后表!D26</f>
        <v/>
      </c>
      <c r="D64" s="152">
        <f>D62-历利调整后表!G26</f>
        <v/>
      </c>
      <c r="E64" s="152">
        <f>E62-历利调整后表!J26</f>
        <v/>
      </c>
      <c r="F64" s="152">
        <f>F62-历利调整后表!M26</f>
        <v/>
      </c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31" t="inlineStr">
        <is>
          <t>占营业收入比例（%）</t>
        </is>
      </c>
      <c r="B65" s="32" t="n"/>
      <c r="C65" s="33">
        <f>ROUND(C62/营业收入表!C17,4)</f>
        <v/>
      </c>
      <c r="D65" s="33">
        <f>ROUND(D62/营业收入表!D17,4)</f>
        <v/>
      </c>
      <c r="E65" s="33">
        <f>ROUND(E62/营业收入表!E17,4)</f>
        <v/>
      </c>
      <c r="F65" s="33">
        <f>ROUND(F62/营业收入表!F17,4)</f>
        <v/>
      </c>
      <c r="G65" s="33">
        <f>ROUND(G62/营业收入表!G17,4)</f>
        <v/>
      </c>
      <c r="H65" s="33">
        <f>ROUND(H62/营业收入表!H17,4)</f>
        <v/>
      </c>
      <c r="I65" s="33">
        <f>ROUND(I62/营业收入表!I17,4)</f>
        <v/>
      </c>
      <c r="J65" s="33">
        <f>ROUND(J62/营业收入表!J17,4)</f>
        <v/>
      </c>
      <c r="K65" s="33">
        <f>ROUND(K62/营业收入表!K17,4)</f>
        <v/>
      </c>
      <c r="L65" s="33">
        <f>ROUND(L62/营业收入表!L17,4)</f>
        <v/>
      </c>
      <c r="M65" s="33">
        <f>ROUND(M62/营业收入表!M17,4)</f>
        <v/>
      </c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31" t="inlineStr">
        <is>
          <t>人工核对</t>
        </is>
      </c>
      <c r="B66" s="32" t="n"/>
      <c r="C66" s="152">
        <f>C6-人工成本表!C30</f>
        <v/>
      </c>
      <c r="D66" s="152">
        <f>D6-人工成本表!D30</f>
        <v/>
      </c>
      <c r="E66" s="152">
        <f>E6-人工成本表!E30</f>
        <v/>
      </c>
      <c r="F66" s="152">
        <f>F6-人工成本表!F30</f>
        <v/>
      </c>
      <c r="G66" s="152">
        <f>G6-人工成本表!G30</f>
        <v/>
      </c>
      <c r="H66" s="152">
        <f>H6-人工成本表!H30</f>
        <v/>
      </c>
      <c r="I66" s="152">
        <f>I6-人工成本表!I30</f>
        <v/>
      </c>
      <c r="J66" s="152">
        <f>J6-人工成本表!J30</f>
        <v/>
      </c>
      <c r="K66" s="152">
        <f>K6-人工成本表!K30</f>
        <v/>
      </c>
      <c r="L66" s="152">
        <f>L6-人工成本表!L30</f>
        <v/>
      </c>
      <c r="M66" s="152">
        <f>M6-人工成本表!M30</f>
        <v/>
      </c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5">
    <mergeCell ref="A1:M1"/>
    <mergeCell ref="C4:F4"/>
    <mergeCell ref="A4:A5"/>
    <mergeCell ref="G4:M4"/>
    <mergeCell ref="A2:M2"/>
  </mergeCells>
  <conditionalFormatting sqref="B64:F64">
    <cfRule type="cellIs" priority="1" operator="notEqual" dxfId="0">
      <formula>0</formula>
    </cfRule>
  </conditionalFormatting>
  <conditionalFormatting sqref="C66:M66">
    <cfRule type="cellIs" priority="2" operator="notEqual" dxfId="0">
      <formula>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267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D13" sqref="D13:F13"/>
    </sheetView>
  </sheetViews>
  <sheetFormatPr baseColWidth="8" defaultColWidth="9.109375" defaultRowHeight="14.4"/>
  <cols>
    <col width="35" customWidth="1" style="1" min="1" max="1"/>
    <col hidden="1" width="15" customWidth="1" style="1" min="2" max="2"/>
    <col width="15" customWidth="1" style="1" min="3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研发费用分析预测表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121" t="inlineStr">
        <is>
          <t>项目</t>
        </is>
      </c>
      <c r="B4" s="121" t="n"/>
      <c r="C4" s="121" t="inlineStr">
        <is>
          <t>历史数据</t>
        </is>
      </c>
      <c r="D4" s="154" t="n"/>
      <c r="E4" s="154" t="n"/>
      <c r="F4" s="155" t="n"/>
      <c r="G4" s="124" t="inlineStr">
        <is>
          <t>未来预测</t>
        </is>
      </c>
      <c r="H4" s="154" t="n"/>
      <c r="I4" s="154" t="n"/>
      <c r="J4" s="154" t="n"/>
      <c r="K4" s="154" t="n"/>
      <c r="L4" s="154" t="n"/>
      <c r="M4" s="15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47" t="n"/>
      <c r="B5" s="121" t="n"/>
      <c r="C5" s="121" t="inlineStr">
        <is>
          <t>2022年度</t>
        </is>
      </c>
      <c r="D5" s="121" t="inlineStr">
        <is>
          <t>2023年度</t>
        </is>
      </c>
      <c r="E5" s="121" t="inlineStr">
        <is>
          <t>2024年度</t>
        </is>
      </c>
      <c r="F5" s="121" t="inlineStr">
        <is>
          <t>2025年1-6月</t>
        </is>
      </c>
      <c r="G5" s="124" t="inlineStr">
        <is>
          <t>2025年7-12月</t>
        </is>
      </c>
      <c r="H5" s="124" t="inlineStr">
        <is>
          <t>2026年度</t>
        </is>
      </c>
      <c r="I5" s="124" t="inlineStr">
        <is>
          <t>2027年度</t>
        </is>
      </c>
      <c r="J5" s="124" t="inlineStr">
        <is>
          <t>2028年度</t>
        </is>
      </c>
      <c r="K5" s="124" t="inlineStr">
        <is>
          <t>2029年度</t>
        </is>
      </c>
      <c r="L5" s="124" t="inlineStr">
        <is>
          <t>2030年度</t>
        </is>
      </c>
      <c r="M5" s="124" t="inlineStr">
        <is>
          <t>永续年度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22" t="inlineStr">
        <is>
          <t>人工</t>
        </is>
      </c>
      <c r="B6" s="135" t="n"/>
      <c r="C6" s="149" t="n"/>
      <c r="D6" s="149" t="n"/>
      <c r="E6" s="149" t="n"/>
      <c r="F6" s="149" t="n"/>
      <c r="G6" s="149" t="n"/>
      <c r="H6" s="149" t="n"/>
      <c r="I6" s="149" t="n"/>
      <c r="J6" s="149" t="n"/>
      <c r="K6" s="149" t="n"/>
      <c r="L6" s="149" t="n"/>
      <c r="M6" s="149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22" t="inlineStr">
        <is>
          <t>材料</t>
        </is>
      </c>
      <c r="B7" s="135" t="n"/>
      <c r="C7" s="149" t="n"/>
      <c r="D7" s="149" t="n"/>
      <c r="E7" s="149" t="n"/>
      <c r="F7" s="149" t="n"/>
      <c r="G7" s="149" t="n"/>
      <c r="H7" s="149" t="n"/>
      <c r="I7" s="149" t="n"/>
      <c r="J7" s="149" t="n"/>
      <c r="K7" s="149" t="n"/>
      <c r="L7" s="149" t="n"/>
      <c r="M7" s="149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22" t="inlineStr">
        <is>
          <t>折旧</t>
        </is>
      </c>
      <c r="B8" s="135" t="n"/>
      <c r="C8" s="149" t="n"/>
      <c r="D8" s="149" t="n"/>
      <c r="E8" s="149" t="n"/>
      <c r="F8" s="149" t="n"/>
      <c r="G8" s="156">
        <f>折旧摊销、资本性支出表!G15</f>
        <v/>
      </c>
      <c r="H8" s="156">
        <f>折旧摊销、资本性支出表!H15</f>
        <v/>
      </c>
      <c r="I8" s="156">
        <f>折旧摊销、资本性支出表!I15</f>
        <v/>
      </c>
      <c r="J8" s="156">
        <f>折旧摊销、资本性支出表!J15</f>
        <v/>
      </c>
      <c r="K8" s="156">
        <f>折旧摊销、资本性支出表!K15</f>
        <v/>
      </c>
      <c r="L8" s="156">
        <f>折旧摊销、资本性支出表!L15</f>
        <v/>
      </c>
      <c r="M8" s="156">
        <f>折旧摊销、资本性支出表!M15</f>
        <v/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22" t="inlineStr">
        <is>
          <t>摊销</t>
        </is>
      </c>
      <c r="B9" s="135" t="n"/>
      <c r="C9" s="149" t="n"/>
      <c r="D9" s="149" t="n"/>
      <c r="E9" s="149" t="n"/>
      <c r="F9" s="149" t="n"/>
      <c r="G9" s="156">
        <f>折旧摊销、资本性支出表!G16</f>
        <v/>
      </c>
      <c r="H9" s="156">
        <f>折旧摊销、资本性支出表!H16</f>
        <v/>
      </c>
      <c r="I9" s="156">
        <f>折旧摊销、资本性支出表!I16</f>
        <v/>
      </c>
      <c r="J9" s="156">
        <f>折旧摊销、资本性支出表!J16</f>
        <v/>
      </c>
      <c r="K9" s="156">
        <f>折旧摊销、资本性支出表!K16</f>
        <v/>
      </c>
      <c r="L9" s="156">
        <f>折旧摊销、资本性支出表!L16</f>
        <v/>
      </c>
      <c r="M9" s="156">
        <f>折旧摊销、资本性支出表!M16</f>
        <v/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122" t="inlineStr">
        <is>
          <t>业务招待费</t>
        </is>
      </c>
      <c r="B10" s="135" t="n"/>
      <c r="C10" s="149" t="n"/>
      <c r="D10" s="149" t="n"/>
      <c r="E10" s="149" t="n"/>
      <c r="F10" s="149" t="n"/>
      <c r="G10" s="149" t="n"/>
      <c r="H10" s="149" t="n"/>
      <c r="I10" s="149" t="n"/>
      <c r="J10" s="149" t="n"/>
      <c r="K10" s="149" t="n"/>
      <c r="L10" s="149" t="n"/>
      <c r="M10" s="149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122" t="inlineStr">
        <is>
          <t>使用权资产折旧</t>
        </is>
      </c>
      <c r="B11" s="135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122" t="inlineStr">
        <is>
          <t>房屋租赁费</t>
        </is>
      </c>
      <c r="B12" s="135" t="n"/>
      <c r="C12" s="149" t="n"/>
      <c r="D12" s="149" t="n"/>
      <c r="E12" s="149" t="n"/>
      <c r="F12" s="149" t="n"/>
      <c r="G12" s="149" t="n"/>
      <c r="H12" s="149" t="n"/>
      <c r="I12" s="149" t="n"/>
      <c r="J12" s="149" t="n"/>
      <c r="K12" s="149" t="n"/>
      <c r="L12" s="149" t="n"/>
      <c r="M12" s="149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135" t="n"/>
      <c r="B13" s="135" t="n"/>
      <c r="C13" s="149" t="n"/>
      <c r="D13" s="149" t="n"/>
      <c r="E13" s="149" t="n"/>
      <c r="F13" s="149" t="n"/>
      <c r="G13" s="149" t="n"/>
      <c r="H13" s="149" t="n"/>
      <c r="I13" s="149" t="n"/>
      <c r="J13" s="149" t="n"/>
      <c r="K13" s="149" t="n"/>
      <c r="L13" s="149" t="n"/>
      <c r="M13" s="149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135" t="n"/>
      <c r="B14" s="135" t="n"/>
      <c r="C14" s="149" t="n"/>
      <c r="D14" s="149" t="n"/>
      <c r="E14" s="149" t="n"/>
      <c r="F14" s="149" t="n"/>
      <c r="G14" s="149" t="n"/>
      <c r="H14" s="149" t="n"/>
      <c r="I14" s="149" t="n"/>
      <c r="J14" s="149" t="n"/>
      <c r="K14" s="149" t="n"/>
      <c r="L14" s="149" t="n"/>
      <c r="M14" s="149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135" t="n"/>
      <c r="B15" s="135" t="n"/>
      <c r="C15" s="149" t="n"/>
      <c r="D15" s="149" t="n"/>
      <c r="E15" s="149" t="n"/>
      <c r="F15" s="149" t="n"/>
      <c r="G15" s="149" t="n"/>
      <c r="H15" s="149" t="n"/>
      <c r="I15" s="149" t="n"/>
      <c r="J15" s="149" t="n"/>
      <c r="K15" s="149" t="n"/>
      <c r="L15" s="149" t="n"/>
      <c r="M15" s="149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135" t="n"/>
      <c r="B16" s="135" t="n"/>
      <c r="C16" s="149" t="n"/>
      <c r="D16" s="149" t="n"/>
      <c r="E16" s="149" t="n"/>
      <c r="F16" s="149" t="n"/>
      <c r="G16" s="149" t="n"/>
      <c r="H16" s="149" t="n"/>
      <c r="I16" s="149" t="n"/>
      <c r="J16" s="149" t="n"/>
      <c r="K16" s="149" t="n"/>
      <c r="L16" s="149" t="n"/>
      <c r="M16" s="149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135" t="n"/>
      <c r="B17" s="135" t="n"/>
      <c r="C17" s="149" t="n"/>
      <c r="D17" s="149" t="n"/>
      <c r="E17" s="149" t="n"/>
      <c r="F17" s="149" t="n"/>
      <c r="G17" s="149" t="n"/>
      <c r="H17" s="149" t="n"/>
      <c r="I17" s="149" t="n"/>
      <c r="J17" s="149" t="n"/>
      <c r="K17" s="149" t="n"/>
      <c r="L17" s="149" t="n"/>
      <c r="M17" s="149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135" t="n"/>
      <c r="B18" s="135" t="n"/>
      <c r="C18" s="149" t="n"/>
      <c r="D18" s="149" t="n"/>
      <c r="E18" s="149" t="n"/>
      <c r="F18" s="149" t="n"/>
      <c r="G18" s="149" t="n"/>
      <c r="H18" s="149" t="n"/>
      <c r="I18" s="149" t="n"/>
      <c r="J18" s="149" t="n"/>
      <c r="K18" s="149" t="n"/>
      <c r="L18" s="149" t="n"/>
      <c r="M18" s="149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135" t="n"/>
      <c r="B19" s="135" t="n"/>
      <c r="C19" s="149" t="n"/>
      <c r="D19" s="149" t="n"/>
      <c r="E19" s="149" t="n"/>
      <c r="F19" s="149" t="n"/>
      <c r="G19" s="149" t="n"/>
      <c r="H19" s="149" t="n"/>
      <c r="I19" s="149" t="n"/>
      <c r="J19" s="149" t="n"/>
      <c r="K19" s="149" t="n"/>
      <c r="L19" s="149" t="n"/>
      <c r="M19" s="149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135" t="n"/>
      <c r="B20" s="135" t="n"/>
      <c r="C20" s="149" t="n"/>
      <c r="D20" s="149" t="n"/>
      <c r="E20" s="149" t="n"/>
      <c r="F20" s="149" t="n"/>
      <c r="G20" s="149" t="n"/>
      <c r="H20" s="149" t="n"/>
      <c r="I20" s="149" t="n"/>
      <c r="J20" s="149" t="n"/>
      <c r="K20" s="149" t="n"/>
      <c r="L20" s="149" t="n"/>
      <c r="M20" s="149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135" t="n"/>
      <c r="B21" s="135" t="n"/>
      <c r="C21" s="149" t="n"/>
      <c r="D21" s="149" t="n"/>
      <c r="E21" s="149" t="n"/>
      <c r="F21" s="149" t="n"/>
      <c r="G21" s="149" t="n"/>
      <c r="H21" s="149" t="n"/>
      <c r="I21" s="149" t="n"/>
      <c r="J21" s="149" t="n"/>
      <c r="K21" s="149" t="n"/>
      <c r="L21" s="149" t="n"/>
      <c r="M21" s="149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135" t="n"/>
      <c r="B22" s="135" t="n"/>
      <c r="C22" s="149" t="n"/>
      <c r="D22" s="149" t="n"/>
      <c r="E22" s="149" t="n"/>
      <c r="F22" s="149" t="n"/>
      <c r="G22" s="149" t="n"/>
      <c r="H22" s="149" t="n"/>
      <c r="I22" s="149" t="n"/>
      <c r="J22" s="149" t="n"/>
      <c r="K22" s="149" t="n"/>
      <c r="L22" s="149" t="n"/>
      <c r="M22" s="149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135" t="n"/>
      <c r="B23" s="135" t="n"/>
      <c r="C23" s="149" t="n"/>
      <c r="D23" s="149" t="n"/>
      <c r="E23" s="149" t="n"/>
      <c r="F23" s="149" t="n"/>
      <c r="G23" s="149" t="n"/>
      <c r="H23" s="149" t="n"/>
      <c r="I23" s="149" t="n"/>
      <c r="J23" s="149" t="n"/>
      <c r="K23" s="149" t="n"/>
      <c r="L23" s="149" t="n"/>
      <c r="M23" s="149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135" t="n"/>
      <c r="B24" s="135" t="n"/>
      <c r="C24" s="149" t="n"/>
      <c r="D24" s="149" t="n"/>
      <c r="E24" s="149" t="n"/>
      <c r="F24" s="149" t="n"/>
      <c r="G24" s="149" t="n"/>
      <c r="H24" s="149" t="n"/>
      <c r="I24" s="149" t="n"/>
      <c r="J24" s="149" t="n"/>
      <c r="K24" s="149" t="n"/>
      <c r="L24" s="149" t="n"/>
      <c r="M24" s="149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135" t="n"/>
      <c r="B25" s="135" t="n"/>
      <c r="C25" s="149" t="n"/>
      <c r="D25" s="149" t="n"/>
      <c r="E25" s="149" t="n"/>
      <c r="F25" s="149" t="n"/>
      <c r="G25" s="149" t="n"/>
      <c r="H25" s="149" t="n"/>
      <c r="I25" s="149" t="n"/>
      <c r="J25" s="149" t="n"/>
      <c r="K25" s="149" t="n"/>
      <c r="L25" s="149" t="n"/>
      <c r="M25" s="149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135" t="n"/>
      <c r="B26" s="135" t="n"/>
      <c r="C26" s="149" t="n"/>
      <c r="D26" s="149" t="n"/>
      <c r="E26" s="149" t="n"/>
      <c r="F26" s="149" t="n"/>
      <c r="G26" s="149" t="n"/>
      <c r="H26" s="149" t="n"/>
      <c r="I26" s="149" t="n"/>
      <c r="J26" s="149" t="n"/>
      <c r="K26" s="149" t="n"/>
      <c r="L26" s="149" t="n"/>
      <c r="M26" s="149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135" t="n"/>
      <c r="B27" s="135" t="n"/>
      <c r="C27" s="149" t="n"/>
      <c r="D27" s="149" t="n"/>
      <c r="E27" s="149" t="n"/>
      <c r="F27" s="149" t="n"/>
      <c r="G27" s="149" t="n"/>
      <c r="H27" s="149" t="n"/>
      <c r="I27" s="149" t="n"/>
      <c r="J27" s="149" t="n"/>
      <c r="K27" s="149" t="n"/>
      <c r="L27" s="149" t="n"/>
      <c r="M27" s="149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135" t="n"/>
      <c r="B28" s="135" t="n"/>
      <c r="C28" s="149" t="n"/>
      <c r="D28" s="149" t="n"/>
      <c r="E28" s="149" t="n"/>
      <c r="F28" s="149" t="n"/>
      <c r="G28" s="149" t="n"/>
      <c r="H28" s="149" t="n"/>
      <c r="I28" s="149" t="n"/>
      <c r="J28" s="149" t="n"/>
      <c r="K28" s="149" t="n"/>
      <c r="L28" s="149" t="n"/>
      <c r="M28" s="149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135" t="n"/>
      <c r="B29" s="135" t="n"/>
      <c r="C29" s="149" t="n"/>
      <c r="D29" s="149" t="n"/>
      <c r="E29" s="149" t="n"/>
      <c r="F29" s="149" t="n"/>
      <c r="G29" s="149" t="n"/>
      <c r="H29" s="149" t="n"/>
      <c r="I29" s="149" t="n"/>
      <c r="J29" s="149" t="n"/>
      <c r="K29" s="149" t="n"/>
      <c r="L29" s="149" t="n"/>
      <c r="M29" s="149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135" t="n"/>
      <c r="B30" s="135" t="n"/>
      <c r="C30" s="149" t="n"/>
      <c r="D30" s="149" t="n"/>
      <c r="E30" s="149" t="n"/>
      <c r="F30" s="149" t="n"/>
      <c r="G30" s="149" t="n"/>
      <c r="H30" s="149" t="n"/>
      <c r="I30" s="149" t="n"/>
      <c r="J30" s="149" t="n"/>
      <c r="K30" s="149" t="n"/>
      <c r="L30" s="149" t="n"/>
      <c r="M30" s="149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135" t="n"/>
      <c r="B31" s="135" t="n"/>
      <c r="C31" s="149" t="n"/>
      <c r="D31" s="149" t="n"/>
      <c r="E31" s="149" t="n"/>
      <c r="F31" s="149" t="n"/>
      <c r="G31" s="149" t="n"/>
      <c r="H31" s="149" t="n"/>
      <c r="I31" s="149" t="n"/>
      <c r="J31" s="149" t="n"/>
      <c r="K31" s="149" t="n"/>
      <c r="L31" s="149" t="n"/>
      <c r="M31" s="149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135" t="n"/>
      <c r="B32" s="135" t="n"/>
      <c r="C32" s="149" t="n"/>
      <c r="D32" s="149" t="n"/>
      <c r="E32" s="149" t="n"/>
      <c r="F32" s="149" t="n"/>
      <c r="G32" s="149" t="n"/>
      <c r="H32" s="149" t="n"/>
      <c r="I32" s="149" t="n"/>
      <c r="J32" s="149" t="n"/>
      <c r="K32" s="149" t="n"/>
      <c r="L32" s="149" t="n"/>
      <c r="M32" s="149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135" t="n"/>
      <c r="B33" s="135" t="n"/>
      <c r="C33" s="149" t="n"/>
      <c r="D33" s="149" t="n"/>
      <c r="E33" s="149" t="n"/>
      <c r="F33" s="149" t="n"/>
      <c r="G33" s="149" t="n"/>
      <c r="H33" s="149" t="n"/>
      <c r="I33" s="149" t="n"/>
      <c r="J33" s="149" t="n"/>
      <c r="K33" s="149" t="n"/>
      <c r="L33" s="149" t="n"/>
      <c r="M33" s="149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135" t="n"/>
      <c r="B34" s="135" t="n"/>
      <c r="C34" s="149" t="n"/>
      <c r="D34" s="149" t="n"/>
      <c r="E34" s="149" t="n"/>
      <c r="F34" s="149" t="n"/>
      <c r="G34" s="149" t="n"/>
      <c r="H34" s="149" t="n"/>
      <c r="I34" s="149" t="n"/>
      <c r="J34" s="149" t="n"/>
      <c r="K34" s="149" t="n"/>
      <c r="L34" s="149" t="n"/>
      <c r="M34" s="149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135" t="n"/>
      <c r="B35" s="135" t="n"/>
      <c r="C35" s="149" t="n"/>
      <c r="D35" s="149" t="n"/>
      <c r="E35" s="149" t="n"/>
      <c r="F35" s="149" t="n"/>
      <c r="G35" s="149" t="n"/>
      <c r="H35" s="149" t="n"/>
      <c r="I35" s="149" t="n"/>
      <c r="J35" s="149" t="n"/>
      <c r="K35" s="149" t="n"/>
      <c r="L35" s="149" t="n"/>
      <c r="M35" s="149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135" t="n"/>
      <c r="B36" s="135" t="n"/>
      <c r="C36" s="149" t="n"/>
      <c r="D36" s="149" t="n"/>
      <c r="E36" s="149" t="n"/>
      <c r="F36" s="149" t="n"/>
      <c r="G36" s="149" t="n"/>
      <c r="H36" s="149" t="n"/>
      <c r="I36" s="149" t="n"/>
      <c r="J36" s="149" t="n"/>
      <c r="K36" s="149" t="n"/>
      <c r="L36" s="149" t="n"/>
      <c r="M36" s="149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135" t="n"/>
      <c r="B37" s="135" t="n"/>
      <c r="C37" s="149" t="n"/>
      <c r="D37" s="149" t="n"/>
      <c r="E37" s="149" t="n"/>
      <c r="F37" s="149" t="n"/>
      <c r="G37" s="149" t="n"/>
      <c r="H37" s="149" t="n"/>
      <c r="I37" s="149" t="n"/>
      <c r="J37" s="149" t="n"/>
      <c r="K37" s="149" t="n"/>
      <c r="L37" s="149" t="n"/>
      <c r="M37" s="149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135" t="n"/>
      <c r="B38" s="135" t="n"/>
      <c r="C38" s="149" t="n"/>
      <c r="D38" s="149" t="n"/>
      <c r="E38" s="149" t="n"/>
      <c r="F38" s="149" t="n"/>
      <c r="G38" s="149" t="n"/>
      <c r="H38" s="149" t="n"/>
      <c r="I38" s="149" t="n"/>
      <c r="J38" s="149" t="n"/>
      <c r="K38" s="149" t="n"/>
      <c r="L38" s="149" t="n"/>
      <c r="M38" s="149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135" t="n"/>
      <c r="B39" s="135" t="n"/>
      <c r="C39" s="149" t="n"/>
      <c r="D39" s="149" t="n"/>
      <c r="E39" s="149" t="n"/>
      <c r="F39" s="149" t="n"/>
      <c r="G39" s="149" t="n"/>
      <c r="H39" s="149" t="n"/>
      <c r="I39" s="149" t="n"/>
      <c r="J39" s="149" t="n"/>
      <c r="K39" s="149" t="n"/>
      <c r="L39" s="149" t="n"/>
      <c r="M39" s="149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135" t="n"/>
      <c r="B40" s="135" t="n"/>
      <c r="C40" s="149" t="n"/>
      <c r="D40" s="149" t="n"/>
      <c r="E40" s="149" t="n"/>
      <c r="F40" s="149" t="n"/>
      <c r="G40" s="149" t="n"/>
      <c r="H40" s="149" t="n"/>
      <c r="I40" s="149" t="n"/>
      <c r="J40" s="149" t="n"/>
      <c r="K40" s="149" t="n"/>
      <c r="L40" s="149" t="n"/>
      <c r="M40" s="149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135" t="n"/>
      <c r="B41" s="135" t="n"/>
      <c r="C41" s="149" t="n"/>
      <c r="D41" s="149" t="n"/>
      <c r="E41" s="149" t="n"/>
      <c r="F41" s="149" t="n"/>
      <c r="G41" s="149" t="n"/>
      <c r="H41" s="149" t="n"/>
      <c r="I41" s="149" t="n"/>
      <c r="J41" s="149" t="n"/>
      <c r="K41" s="149" t="n"/>
      <c r="L41" s="149" t="n"/>
      <c r="M41" s="149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135" t="n"/>
      <c r="B42" s="135" t="n"/>
      <c r="C42" s="149" t="n"/>
      <c r="D42" s="149" t="n"/>
      <c r="E42" s="149" t="n"/>
      <c r="F42" s="149" t="n"/>
      <c r="G42" s="149" t="n"/>
      <c r="H42" s="149" t="n"/>
      <c r="I42" s="149" t="n"/>
      <c r="J42" s="149" t="n"/>
      <c r="K42" s="149" t="n"/>
      <c r="L42" s="149" t="n"/>
      <c r="M42" s="149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 hidden="1">
      <c r="A43" s="135" t="n"/>
      <c r="B43" s="135" t="n"/>
      <c r="C43" s="149" t="n"/>
      <c r="D43" s="149" t="n"/>
      <c r="E43" s="149" t="n"/>
      <c r="F43" s="149" t="n"/>
      <c r="G43" s="149" t="n"/>
      <c r="H43" s="149" t="n"/>
      <c r="I43" s="149" t="n"/>
      <c r="J43" s="149" t="n"/>
      <c r="K43" s="149" t="n"/>
      <c r="L43" s="149" t="n"/>
      <c r="M43" s="149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 hidden="1">
      <c r="A44" s="135" t="n"/>
      <c r="B44" s="135" t="n"/>
      <c r="C44" s="149" t="n"/>
      <c r="D44" s="149" t="n"/>
      <c r="E44" s="149" t="n"/>
      <c r="F44" s="149" t="n"/>
      <c r="G44" s="149" t="n"/>
      <c r="H44" s="149" t="n"/>
      <c r="I44" s="149" t="n"/>
      <c r="J44" s="149" t="n"/>
      <c r="K44" s="149" t="n"/>
      <c r="L44" s="149" t="n"/>
      <c r="M44" s="149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 hidden="1">
      <c r="A45" s="135" t="n"/>
      <c r="B45" s="135" t="n"/>
      <c r="C45" s="149" t="n"/>
      <c r="D45" s="149" t="n"/>
      <c r="E45" s="149" t="n"/>
      <c r="F45" s="149" t="n"/>
      <c r="G45" s="149" t="n"/>
      <c r="H45" s="149" t="n"/>
      <c r="I45" s="149" t="n"/>
      <c r="J45" s="149" t="n"/>
      <c r="K45" s="149" t="n"/>
      <c r="L45" s="149" t="n"/>
      <c r="M45" s="149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 hidden="1">
      <c r="A46" s="135" t="n"/>
      <c r="B46" s="135" t="n"/>
      <c r="C46" s="149" t="n"/>
      <c r="D46" s="149" t="n"/>
      <c r="E46" s="149" t="n"/>
      <c r="F46" s="149" t="n"/>
      <c r="G46" s="149" t="n"/>
      <c r="H46" s="149" t="n"/>
      <c r="I46" s="149" t="n"/>
      <c r="J46" s="149" t="n"/>
      <c r="K46" s="149" t="n"/>
      <c r="L46" s="149" t="n"/>
      <c r="M46" s="149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 hidden="1">
      <c r="A47" s="135" t="n"/>
      <c r="B47" s="135" t="n"/>
      <c r="C47" s="149" t="n"/>
      <c r="D47" s="149" t="n"/>
      <c r="E47" s="149" t="n"/>
      <c r="F47" s="149" t="n"/>
      <c r="G47" s="149" t="n"/>
      <c r="H47" s="149" t="n"/>
      <c r="I47" s="149" t="n"/>
      <c r="J47" s="149" t="n"/>
      <c r="K47" s="149" t="n"/>
      <c r="L47" s="149" t="n"/>
      <c r="M47" s="149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 hidden="1">
      <c r="A48" s="135" t="n"/>
      <c r="B48" s="135" t="n"/>
      <c r="C48" s="149" t="n"/>
      <c r="D48" s="149" t="n"/>
      <c r="E48" s="149" t="n"/>
      <c r="F48" s="149" t="n"/>
      <c r="G48" s="149" t="n"/>
      <c r="H48" s="149" t="n"/>
      <c r="I48" s="149" t="n"/>
      <c r="J48" s="149" t="n"/>
      <c r="K48" s="149" t="n"/>
      <c r="L48" s="149" t="n"/>
      <c r="M48" s="149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 hidden="1">
      <c r="A49" s="135" t="n"/>
      <c r="B49" s="135" t="n"/>
      <c r="C49" s="149" t="n"/>
      <c r="D49" s="149" t="n"/>
      <c r="E49" s="149" t="n"/>
      <c r="F49" s="149" t="n"/>
      <c r="G49" s="149" t="n"/>
      <c r="H49" s="149" t="n"/>
      <c r="I49" s="149" t="n"/>
      <c r="J49" s="149" t="n"/>
      <c r="K49" s="149" t="n"/>
      <c r="L49" s="149" t="n"/>
      <c r="M49" s="149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 hidden="1">
      <c r="A50" s="135" t="n"/>
      <c r="B50" s="135" t="n"/>
      <c r="C50" s="149" t="n"/>
      <c r="D50" s="149" t="n"/>
      <c r="E50" s="149" t="n"/>
      <c r="F50" s="149" t="n"/>
      <c r="G50" s="149" t="n"/>
      <c r="H50" s="149" t="n"/>
      <c r="I50" s="149" t="n"/>
      <c r="J50" s="149" t="n"/>
      <c r="K50" s="149" t="n"/>
      <c r="L50" s="149" t="n"/>
      <c r="M50" s="149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 hidden="1">
      <c r="A51" s="135" t="n"/>
      <c r="B51" s="135" t="n"/>
      <c r="C51" s="149" t="n"/>
      <c r="D51" s="149" t="n"/>
      <c r="E51" s="149" t="n"/>
      <c r="F51" s="149" t="n"/>
      <c r="G51" s="149" t="n"/>
      <c r="H51" s="149" t="n"/>
      <c r="I51" s="149" t="n"/>
      <c r="J51" s="149" t="n"/>
      <c r="K51" s="149" t="n"/>
      <c r="L51" s="149" t="n"/>
      <c r="M51" s="149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 hidden="1">
      <c r="A52" s="135" t="n"/>
      <c r="B52" s="135" t="n"/>
      <c r="C52" s="149" t="n"/>
      <c r="D52" s="149" t="n"/>
      <c r="E52" s="149" t="n"/>
      <c r="F52" s="149" t="n"/>
      <c r="G52" s="149" t="n"/>
      <c r="H52" s="149" t="n"/>
      <c r="I52" s="149" t="n"/>
      <c r="J52" s="149" t="n"/>
      <c r="K52" s="149" t="n"/>
      <c r="L52" s="149" t="n"/>
      <c r="M52" s="149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 hidden="1">
      <c r="A53" s="135" t="n"/>
      <c r="B53" s="135" t="n"/>
      <c r="C53" s="149" t="n"/>
      <c r="D53" s="149" t="n"/>
      <c r="E53" s="149" t="n"/>
      <c r="F53" s="149" t="n"/>
      <c r="G53" s="149" t="n"/>
      <c r="H53" s="149" t="n"/>
      <c r="I53" s="149" t="n"/>
      <c r="J53" s="149" t="n"/>
      <c r="K53" s="149" t="n"/>
      <c r="L53" s="149" t="n"/>
      <c r="M53" s="149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 hidden="1">
      <c r="A54" s="135" t="n"/>
      <c r="B54" s="135" t="n"/>
      <c r="C54" s="149" t="n"/>
      <c r="D54" s="149" t="n"/>
      <c r="E54" s="149" t="n"/>
      <c r="F54" s="149" t="n"/>
      <c r="G54" s="149" t="n"/>
      <c r="H54" s="149" t="n"/>
      <c r="I54" s="149" t="n"/>
      <c r="J54" s="149" t="n"/>
      <c r="K54" s="149" t="n"/>
      <c r="L54" s="149" t="n"/>
      <c r="M54" s="149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 hidden="1">
      <c r="A55" s="135" t="n"/>
      <c r="B55" s="135" t="n"/>
      <c r="C55" s="149" t="n"/>
      <c r="D55" s="149" t="n"/>
      <c r="E55" s="149" t="n"/>
      <c r="F55" s="149" t="n"/>
      <c r="G55" s="149" t="n"/>
      <c r="H55" s="149" t="n"/>
      <c r="I55" s="149" t="n"/>
      <c r="J55" s="149" t="n"/>
      <c r="K55" s="149" t="n"/>
      <c r="L55" s="149" t="n"/>
      <c r="M55" s="149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 hidden="1">
      <c r="A56" s="135" t="n"/>
      <c r="B56" s="135" t="n"/>
      <c r="C56" s="149" t="n"/>
      <c r="D56" s="149" t="n"/>
      <c r="E56" s="149" t="n"/>
      <c r="F56" s="149" t="n"/>
      <c r="G56" s="149" t="n"/>
      <c r="H56" s="149" t="n"/>
      <c r="I56" s="149" t="n"/>
      <c r="J56" s="149" t="n"/>
      <c r="K56" s="149" t="n"/>
      <c r="L56" s="149" t="n"/>
      <c r="M56" s="149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 hidden="1">
      <c r="A57" s="135" t="n"/>
      <c r="B57" s="135" t="n"/>
      <c r="C57" s="149" t="n"/>
      <c r="D57" s="149" t="n"/>
      <c r="E57" s="149" t="n"/>
      <c r="F57" s="149" t="n"/>
      <c r="G57" s="149" t="n"/>
      <c r="H57" s="149" t="n"/>
      <c r="I57" s="149" t="n"/>
      <c r="J57" s="149" t="n"/>
      <c r="K57" s="149" t="n"/>
      <c r="L57" s="149" t="n"/>
      <c r="M57" s="149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 hidden="1">
      <c r="A58" s="135" t="n"/>
      <c r="B58" s="135" t="n"/>
      <c r="C58" s="149" t="n"/>
      <c r="D58" s="149" t="n"/>
      <c r="E58" s="149" t="n"/>
      <c r="F58" s="149" t="n"/>
      <c r="G58" s="149" t="n"/>
      <c r="H58" s="149" t="n"/>
      <c r="I58" s="149" t="n"/>
      <c r="J58" s="149" t="n"/>
      <c r="K58" s="149" t="n"/>
      <c r="L58" s="149" t="n"/>
      <c r="M58" s="149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 hidden="1">
      <c r="A59" s="135" t="n"/>
      <c r="B59" s="135" t="n"/>
      <c r="C59" s="149" t="n"/>
      <c r="D59" s="149" t="n"/>
      <c r="E59" s="149" t="n"/>
      <c r="F59" s="149" t="n"/>
      <c r="G59" s="149" t="n"/>
      <c r="H59" s="149" t="n"/>
      <c r="I59" s="149" t="n"/>
      <c r="J59" s="149" t="n"/>
      <c r="K59" s="149" t="n"/>
      <c r="L59" s="149" t="n"/>
      <c r="M59" s="149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 hidden="1">
      <c r="A60" s="135" t="n"/>
      <c r="B60" s="135" t="n"/>
      <c r="C60" s="149" t="n"/>
      <c r="D60" s="149" t="n"/>
      <c r="E60" s="149" t="n"/>
      <c r="F60" s="149" t="n"/>
      <c r="G60" s="149" t="n"/>
      <c r="H60" s="149" t="n"/>
      <c r="I60" s="149" t="n"/>
      <c r="J60" s="149" t="n"/>
      <c r="K60" s="149" t="n"/>
      <c r="L60" s="149" t="n"/>
      <c r="M60" s="149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 hidden="1">
      <c r="A61" s="135" t="n"/>
      <c r="B61" s="135" t="n"/>
      <c r="C61" s="149" t="n"/>
      <c r="D61" s="149" t="n"/>
      <c r="E61" s="149" t="n"/>
      <c r="F61" s="149" t="n"/>
      <c r="G61" s="149" t="n"/>
      <c r="H61" s="149" t="n"/>
      <c r="I61" s="149" t="n"/>
      <c r="J61" s="149" t="n"/>
      <c r="K61" s="149" t="n"/>
      <c r="L61" s="149" t="n"/>
      <c r="M61" s="149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 hidden="1">
      <c r="A62" s="135" t="n"/>
      <c r="B62" s="135" t="n"/>
      <c r="C62" s="149" t="n"/>
      <c r="D62" s="149" t="n"/>
      <c r="E62" s="149" t="n"/>
      <c r="F62" s="149" t="n"/>
      <c r="G62" s="149" t="n"/>
      <c r="H62" s="149" t="n"/>
      <c r="I62" s="149" t="n"/>
      <c r="J62" s="149" t="n"/>
      <c r="K62" s="149" t="n"/>
      <c r="L62" s="149" t="n"/>
      <c r="M62" s="149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136" t="inlineStr">
        <is>
          <t>合计</t>
        </is>
      </c>
      <c r="B63" s="137" t="n"/>
      <c r="C63" s="150">
        <f>SUM(C6:C62)</f>
        <v/>
      </c>
      <c r="D63" s="150">
        <f>SUM(D6:D62)</f>
        <v/>
      </c>
      <c r="E63" s="150">
        <f>SUM(E6:E62)</f>
        <v/>
      </c>
      <c r="F63" s="150">
        <f>SUM(F6:F62)</f>
        <v/>
      </c>
      <c r="G63" s="150">
        <f>SUM(G6:G62)</f>
        <v/>
      </c>
      <c r="H63" s="150">
        <f>SUM(H6:H62)</f>
        <v/>
      </c>
      <c r="I63" s="150">
        <f>SUM(I6:I62)</f>
        <v/>
      </c>
      <c r="J63" s="150">
        <f>SUM(J6:J62)</f>
        <v/>
      </c>
      <c r="K63" s="150">
        <f>SUM(K6:K62)</f>
        <v/>
      </c>
      <c r="L63" s="150">
        <f>SUM(L6:L62)</f>
        <v/>
      </c>
      <c r="M63" s="150">
        <f>SUM(M6:M62)</f>
        <v/>
      </c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31" t="inlineStr">
        <is>
          <t>【HD】核对</t>
        </is>
      </c>
      <c r="B65" s="152" t="n"/>
      <c r="C65" s="152">
        <f>C63-历利调整后表!D27</f>
        <v/>
      </c>
      <c r="D65" s="152">
        <f>D63-历利调整后表!G27</f>
        <v/>
      </c>
      <c r="E65" s="152">
        <f>E63-历利调整后表!J27</f>
        <v/>
      </c>
      <c r="F65" s="152">
        <f>F63-历利调整后表!M27</f>
        <v/>
      </c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31" t="inlineStr">
        <is>
          <t>占营业收入比例（%）</t>
        </is>
      </c>
      <c r="B66" s="32" t="n"/>
      <c r="C66" s="33">
        <f>ROUND(C63/营业收入表!C17,4)</f>
        <v/>
      </c>
      <c r="D66" s="33">
        <f>ROUND(D63/营业收入表!D17,4)</f>
        <v/>
      </c>
      <c r="E66" s="33">
        <f>ROUND(E63/营业收入表!E17,4)</f>
        <v/>
      </c>
      <c r="F66" s="33">
        <f>ROUND(F63/营业收入表!F17,4)</f>
        <v/>
      </c>
      <c r="G66" s="33">
        <f>ROUND(G63/营业收入表!G17,4)</f>
        <v/>
      </c>
      <c r="H66" s="33">
        <f>ROUND(H63/营业收入表!H17,4)</f>
        <v/>
      </c>
      <c r="I66" s="33">
        <f>ROUND(I63/营业收入表!I17,4)</f>
        <v/>
      </c>
      <c r="J66" s="33">
        <f>ROUND(J63/营业收入表!J17,4)</f>
        <v/>
      </c>
      <c r="K66" s="33">
        <f>ROUND(K63/营业收入表!K17,4)</f>
        <v/>
      </c>
      <c r="L66" s="33">
        <f>ROUND(L63/营业收入表!L17,4)</f>
        <v/>
      </c>
      <c r="M66" s="33">
        <f>ROUND(M63/营业收入表!M17,4)</f>
        <v/>
      </c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31" t="inlineStr">
        <is>
          <t>人工核对</t>
        </is>
      </c>
      <c r="B67" s="32" t="n"/>
      <c r="C67" s="152">
        <f>C6-人工成本表!C31</f>
        <v/>
      </c>
      <c r="D67" s="152">
        <f>D6-人工成本表!D31</f>
        <v/>
      </c>
      <c r="E67" s="152">
        <f>E6-人工成本表!E31</f>
        <v/>
      </c>
      <c r="F67" s="152">
        <f>F6-人工成本表!F31</f>
        <v/>
      </c>
      <c r="G67" s="152">
        <f>G6-人工成本表!G31</f>
        <v/>
      </c>
      <c r="H67" s="152">
        <f>H6-人工成本表!H31</f>
        <v/>
      </c>
      <c r="I67" s="152">
        <f>I6-人工成本表!I31</f>
        <v/>
      </c>
      <c r="J67" s="152">
        <f>J6-人工成本表!J31</f>
        <v/>
      </c>
      <c r="K67" s="152">
        <f>K6-人工成本表!K31</f>
        <v/>
      </c>
      <c r="L67" s="152">
        <f>L6-人工成本表!L31</f>
        <v/>
      </c>
      <c r="M67" s="152">
        <f>M6-人工成本表!M31</f>
        <v/>
      </c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5">
    <mergeCell ref="A1:M1"/>
    <mergeCell ref="C4:F4"/>
    <mergeCell ref="A4:A5"/>
    <mergeCell ref="G4:M4"/>
    <mergeCell ref="A2:M2"/>
  </mergeCells>
  <conditionalFormatting sqref="B65:F65">
    <cfRule type="cellIs" priority="1" operator="notEqual" dxfId="0">
      <formula>0</formula>
    </cfRule>
  </conditionalFormatting>
  <conditionalFormatting sqref="C67:M67">
    <cfRule type="cellIs" priority="2" operator="notEqual" dxfId="0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M218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D6" sqref="D6:F6"/>
    </sheetView>
  </sheetViews>
  <sheetFormatPr baseColWidth="8" defaultColWidth="9.109375" defaultRowHeight="14.4"/>
  <cols>
    <col width="35" customWidth="1" style="1" min="1" max="1"/>
    <col hidden="1" width="15" customWidth="1" style="1" min="2" max="2"/>
    <col width="15" customWidth="1" style="1" min="3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财务费用分析预测表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121" t="inlineStr">
        <is>
          <t>项目</t>
        </is>
      </c>
      <c r="B4" s="121" t="n"/>
      <c r="C4" s="121" t="inlineStr">
        <is>
          <t>历史数据</t>
        </is>
      </c>
      <c r="D4" s="154" t="n"/>
      <c r="E4" s="154" t="n"/>
      <c r="F4" s="155" t="n"/>
      <c r="G4" s="124" t="inlineStr">
        <is>
          <t>未来预测</t>
        </is>
      </c>
      <c r="H4" s="154" t="n"/>
      <c r="I4" s="154" t="n"/>
      <c r="J4" s="154" t="n"/>
      <c r="K4" s="154" t="n"/>
      <c r="L4" s="154" t="n"/>
      <c r="M4" s="15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47" t="n"/>
      <c r="B5" s="121" t="n"/>
      <c r="C5" s="121" t="inlineStr">
        <is>
          <t>2022年度</t>
        </is>
      </c>
      <c r="D5" s="121" t="inlineStr">
        <is>
          <t>2023年度</t>
        </is>
      </c>
      <c r="E5" s="121" t="inlineStr">
        <is>
          <t>2024年度</t>
        </is>
      </c>
      <c r="F5" s="121" t="inlineStr">
        <is>
          <t>2025年1-6月</t>
        </is>
      </c>
      <c r="G5" s="124" t="inlineStr">
        <is>
          <t>2025年7-12月</t>
        </is>
      </c>
      <c r="H5" s="124" t="inlineStr">
        <is>
          <t>2026年度</t>
        </is>
      </c>
      <c r="I5" s="124" t="inlineStr">
        <is>
          <t>2027年度</t>
        </is>
      </c>
      <c r="J5" s="124" t="inlineStr">
        <is>
          <t>2028年度</t>
        </is>
      </c>
      <c r="K5" s="124" t="inlineStr">
        <is>
          <t>2029年度</t>
        </is>
      </c>
      <c r="L5" s="124" t="inlineStr">
        <is>
          <t>2030年度</t>
        </is>
      </c>
      <c r="M5" s="124" t="inlineStr">
        <is>
          <t>永续年度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22" t="inlineStr">
        <is>
          <t>利息支出</t>
        </is>
      </c>
      <c r="B6" s="135" t="n"/>
      <c r="C6" s="149" t="n"/>
      <c r="D6" s="149" t="n"/>
      <c r="E6" s="149" t="n"/>
      <c r="F6" s="166" t="n"/>
      <c r="G6" s="149" t="n"/>
      <c r="H6" s="149" t="n"/>
      <c r="I6" s="149" t="n"/>
      <c r="J6" s="149" t="n"/>
      <c r="K6" s="149" t="n"/>
      <c r="L6" s="149" t="n"/>
      <c r="M6" s="149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22" t="inlineStr">
        <is>
          <t>利息收入</t>
        </is>
      </c>
      <c r="B7" s="135" t="n"/>
      <c r="C7" s="149" t="n"/>
      <c r="D7" s="149" t="n"/>
      <c r="E7" s="149" t="n"/>
      <c r="F7" s="149" t="n"/>
      <c r="G7" s="149" t="n"/>
      <c r="H7" s="149" t="n"/>
      <c r="I7" s="149" t="n"/>
      <c r="J7" s="149" t="n"/>
      <c r="K7" s="149" t="n"/>
      <c r="L7" s="149" t="n"/>
      <c r="M7" s="149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22" t="inlineStr">
        <is>
          <t>汇兑损益</t>
        </is>
      </c>
      <c r="B8" s="135" t="n"/>
      <c r="C8" s="149" t="n"/>
      <c r="D8" s="149" t="n"/>
      <c r="E8" s="149" t="n"/>
      <c r="F8" s="149" t="n"/>
      <c r="G8" s="149" t="n"/>
      <c r="H8" s="149" t="n"/>
      <c r="I8" s="149" t="n"/>
      <c r="J8" s="149" t="n"/>
      <c r="K8" s="149" t="n"/>
      <c r="L8" s="149" t="n"/>
      <c r="M8" s="149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22" t="inlineStr">
        <is>
          <t>手续费</t>
        </is>
      </c>
      <c r="B9" s="135" t="n"/>
      <c r="C9" s="149" t="n"/>
      <c r="D9" s="149" t="n"/>
      <c r="E9" s="149" t="n"/>
      <c r="F9" s="149" t="n"/>
      <c r="G9" s="149" t="n"/>
      <c r="H9" s="149" t="n"/>
      <c r="I9" s="149" t="n"/>
      <c r="J9" s="149" t="n"/>
      <c r="K9" s="149" t="n"/>
      <c r="L9" s="149" t="n"/>
      <c r="M9" s="149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122" t="inlineStr">
        <is>
          <t>贴现息</t>
        </is>
      </c>
      <c r="B10" s="135" t="n"/>
      <c r="C10" s="149" t="n"/>
      <c r="D10" s="149" t="n"/>
      <c r="E10" s="149" t="n"/>
      <c r="F10" s="149" t="n"/>
      <c r="G10" s="149" t="n"/>
      <c r="H10" s="149" t="n"/>
      <c r="I10" s="149" t="n"/>
      <c r="J10" s="149" t="n"/>
      <c r="K10" s="149" t="n"/>
      <c r="L10" s="149" t="n"/>
      <c r="M10" s="149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122" t="inlineStr">
        <is>
          <t>未确认融资费用</t>
        </is>
      </c>
      <c r="B11" s="135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135" t="n"/>
      <c r="B12" s="135" t="n"/>
      <c r="C12" s="149" t="n"/>
      <c r="D12" s="149" t="n"/>
      <c r="E12" s="149" t="n"/>
      <c r="F12" s="149" t="n"/>
      <c r="G12" s="149" t="n"/>
      <c r="H12" s="149" t="n"/>
      <c r="I12" s="149" t="n"/>
      <c r="J12" s="149" t="n"/>
      <c r="K12" s="149" t="n"/>
      <c r="L12" s="149" t="n"/>
      <c r="M12" s="149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135" t="n"/>
      <c r="B13" s="135" t="n"/>
      <c r="C13" s="149" t="n"/>
      <c r="D13" s="149" t="n"/>
      <c r="E13" s="149" t="n"/>
      <c r="F13" s="149" t="n"/>
      <c r="G13" s="149" t="n"/>
      <c r="H13" s="149" t="n"/>
      <c r="I13" s="149" t="n"/>
      <c r="J13" s="149" t="n"/>
      <c r="K13" s="149" t="n"/>
      <c r="L13" s="149" t="n"/>
      <c r="M13" s="149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135" t="n"/>
      <c r="B14" s="135" t="n"/>
      <c r="C14" s="149" t="n"/>
      <c r="D14" s="149" t="n"/>
      <c r="E14" s="149" t="n"/>
      <c r="F14" s="149" t="n"/>
      <c r="G14" s="149" t="n"/>
      <c r="H14" s="149" t="n"/>
      <c r="I14" s="149" t="n"/>
      <c r="J14" s="149" t="n"/>
      <c r="K14" s="149" t="n"/>
      <c r="L14" s="149" t="n"/>
      <c r="M14" s="149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136" t="inlineStr">
        <is>
          <t>合计</t>
        </is>
      </c>
      <c r="B15" s="137" t="n"/>
      <c r="C15" s="150">
        <f>SUM(C6:C14)</f>
        <v/>
      </c>
      <c r="D15" s="150">
        <f>SUM(D6:D14)</f>
        <v/>
      </c>
      <c r="E15" s="150">
        <f>SUM(E6:E14)</f>
        <v/>
      </c>
      <c r="F15" s="150">
        <f>SUM(F6:F14)</f>
        <v/>
      </c>
      <c r="G15" s="150">
        <f>SUM(G6:G14)</f>
        <v/>
      </c>
      <c r="H15" s="150">
        <f>SUM(H6:H14)</f>
        <v/>
      </c>
      <c r="I15" s="150">
        <f>SUM(I6:I14)</f>
        <v/>
      </c>
      <c r="J15" s="150">
        <f>SUM(J6:J14)</f>
        <v/>
      </c>
      <c r="K15" s="150">
        <f>SUM(K6:K14)</f>
        <v/>
      </c>
      <c r="L15" s="150">
        <f>SUM(L6:L14)</f>
        <v/>
      </c>
      <c r="M15" s="150">
        <f>SUM(M6:M14)</f>
        <v/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31" t="inlineStr">
        <is>
          <t>【HD】核对</t>
        </is>
      </c>
      <c r="B17" s="152" t="n"/>
      <c r="C17" s="152">
        <f>C15-历利调整后表!D28</f>
        <v/>
      </c>
      <c r="D17" s="152">
        <f>D15-历利调整后表!G28</f>
        <v/>
      </c>
      <c r="E17" s="152">
        <f>E15-历利调整后表!J28</f>
        <v/>
      </c>
      <c r="F17" s="152">
        <f>F15-历利调整后表!M28</f>
        <v/>
      </c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31" t="inlineStr">
        <is>
          <t>占营业收入比例（%）</t>
        </is>
      </c>
      <c r="B18" s="32" t="n"/>
      <c r="C18" s="33">
        <f>ROUND(C15/营业收入表!C17,4)</f>
        <v/>
      </c>
      <c r="D18" s="33">
        <f>ROUND(D15/营业收入表!D17,4)</f>
        <v/>
      </c>
      <c r="E18" s="33">
        <f>ROUND(E15/营业收入表!E17,4)</f>
        <v/>
      </c>
      <c r="F18" s="33">
        <f>ROUND(F15/营业收入表!F17,4)</f>
        <v/>
      </c>
      <c r="G18" s="33">
        <f>ROUND(G15/营业收入表!G17,4)</f>
        <v/>
      </c>
      <c r="H18" s="33">
        <f>ROUND(H15/营业收入表!H17,4)</f>
        <v/>
      </c>
      <c r="I18" s="33">
        <f>ROUND(I15/营业收入表!I17,4)</f>
        <v/>
      </c>
      <c r="J18" s="33">
        <f>ROUND(J15/营业收入表!J17,4)</f>
        <v/>
      </c>
      <c r="K18" s="33">
        <f>ROUND(K15/营业收入表!K17,4)</f>
        <v/>
      </c>
      <c r="L18" s="33">
        <f>ROUND(L15/营业收入表!L17,4)</f>
        <v/>
      </c>
      <c r="M18" s="33">
        <f>ROUND(M15/营业收入表!M17,4)</f>
        <v/>
      </c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5">
    <mergeCell ref="A1:M1"/>
    <mergeCell ref="C4:F4"/>
    <mergeCell ref="A4:A5"/>
    <mergeCell ref="G4:M4"/>
    <mergeCell ref="A2:M2"/>
  </mergeCells>
  <conditionalFormatting sqref="B17:F17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M21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.109375" defaultRowHeight="14.4"/>
  <cols>
    <col width="35" customWidth="1" style="1" min="1" max="1"/>
    <col hidden="1" width="15" customWidth="1" style="1" min="2" max="2"/>
    <col width="15" customWidth="1" style="1" min="3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其他收益分析预测表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121" t="inlineStr">
        <is>
          <t>项目</t>
        </is>
      </c>
      <c r="B4" s="121" t="n"/>
      <c r="C4" s="121" t="inlineStr">
        <is>
          <t>历史数据</t>
        </is>
      </c>
      <c r="D4" s="154" t="n"/>
      <c r="E4" s="154" t="n"/>
      <c r="F4" s="155" t="n"/>
      <c r="G4" s="124" t="inlineStr">
        <is>
          <t>未来预测</t>
        </is>
      </c>
      <c r="H4" s="154" t="n"/>
      <c r="I4" s="154" t="n"/>
      <c r="J4" s="154" t="n"/>
      <c r="K4" s="154" t="n"/>
      <c r="L4" s="154" t="n"/>
      <c r="M4" s="15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47" t="n"/>
      <c r="B5" s="121" t="n"/>
      <c r="C5" s="121" t="inlineStr">
        <is>
          <t>2022年度</t>
        </is>
      </c>
      <c r="D5" s="121" t="inlineStr">
        <is>
          <t>2023年度</t>
        </is>
      </c>
      <c r="E5" s="121" t="inlineStr">
        <is>
          <t>2024年度</t>
        </is>
      </c>
      <c r="F5" s="121" t="inlineStr">
        <is>
          <t>2025年1-6月</t>
        </is>
      </c>
      <c r="G5" s="124" t="inlineStr">
        <is>
          <t>2025年7-12月</t>
        </is>
      </c>
      <c r="H5" s="124" t="inlineStr">
        <is>
          <t>2026年度</t>
        </is>
      </c>
      <c r="I5" s="124" t="inlineStr">
        <is>
          <t>2027年度</t>
        </is>
      </c>
      <c r="J5" s="124" t="inlineStr">
        <is>
          <t>2028年度</t>
        </is>
      </c>
      <c r="K5" s="124" t="inlineStr">
        <is>
          <t>2029年度</t>
        </is>
      </c>
      <c r="L5" s="124" t="inlineStr">
        <is>
          <t>2030年度</t>
        </is>
      </c>
      <c r="M5" s="124" t="inlineStr">
        <is>
          <t>永续年度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35" t="n"/>
      <c r="B6" s="135" t="n"/>
      <c r="C6" s="149" t="n"/>
      <c r="D6" s="149" t="n"/>
      <c r="E6" s="149" t="n"/>
      <c r="F6" s="149" t="n"/>
      <c r="G6" s="149" t="n"/>
      <c r="H6" s="149" t="n"/>
      <c r="I6" s="149" t="n"/>
      <c r="J6" s="149" t="n"/>
      <c r="K6" s="149" t="n"/>
      <c r="L6" s="149" t="n"/>
      <c r="M6" s="149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35" t="n"/>
      <c r="B7" s="135" t="n"/>
      <c r="C7" s="149" t="n"/>
      <c r="D7" s="149" t="n"/>
      <c r="E7" s="149" t="n"/>
      <c r="F7" s="149" t="n"/>
      <c r="G7" s="149" t="n"/>
      <c r="H7" s="149" t="n"/>
      <c r="I7" s="149" t="n"/>
      <c r="J7" s="149" t="n"/>
      <c r="K7" s="149" t="n"/>
      <c r="L7" s="149" t="n"/>
      <c r="M7" s="149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35" t="n"/>
      <c r="B8" s="135" t="n"/>
      <c r="C8" s="149" t="n"/>
      <c r="D8" s="149" t="n"/>
      <c r="E8" s="149" t="n"/>
      <c r="F8" s="149" t="n"/>
      <c r="G8" s="149" t="n"/>
      <c r="H8" s="149" t="n"/>
      <c r="I8" s="149" t="n"/>
      <c r="J8" s="149" t="n"/>
      <c r="K8" s="149" t="n"/>
      <c r="L8" s="149" t="n"/>
      <c r="M8" s="149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36" t="inlineStr">
        <is>
          <t>合计</t>
        </is>
      </c>
      <c r="B9" s="137" t="n"/>
      <c r="C9" s="150">
        <f>SUM(C6:C8)</f>
        <v/>
      </c>
      <c r="D9" s="150">
        <f>SUM(D6:D8)</f>
        <v/>
      </c>
      <c r="E9" s="150">
        <f>SUM(E6:E8)</f>
        <v/>
      </c>
      <c r="F9" s="150">
        <f>SUM(F6:F8)</f>
        <v/>
      </c>
      <c r="G9" s="150">
        <f>SUM(G6:G8)</f>
        <v/>
      </c>
      <c r="H9" s="150">
        <f>SUM(H6:H8)</f>
        <v/>
      </c>
      <c r="I9" s="150">
        <f>SUM(I6:I8)</f>
        <v/>
      </c>
      <c r="J9" s="150">
        <f>SUM(J6:J8)</f>
        <v/>
      </c>
      <c r="K9" s="150">
        <f>SUM(K6:K8)</f>
        <v/>
      </c>
      <c r="L9" s="150">
        <f>SUM(L6:L8)</f>
        <v/>
      </c>
      <c r="M9" s="150">
        <f>SUM(M6:M8)</f>
        <v/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31" t="inlineStr">
        <is>
          <t>【HD】核对</t>
        </is>
      </c>
      <c r="B11" s="152" t="n"/>
      <c r="C11" s="152">
        <f>C9-历利调整后表!D31</f>
        <v/>
      </c>
      <c r="D11" s="152">
        <f>D9-历利调整后表!G31</f>
        <v/>
      </c>
      <c r="E11" s="152">
        <f>E9-历利调整后表!J31</f>
        <v/>
      </c>
      <c r="F11" s="152">
        <f>F9-历利调整后表!M31</f>
        <v/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31" t="inlineStr">
        <is>
          <t>增长率（%）</t>
        </is>
      </c>
      <c r="B12" s="32" t="n"/>
      <c r="C12" s="32" t="n"/>
      <c r="D12" s="33">
        <f>ROUND((D9-C9)/C9,4)</f>
        <v/>
      </c>
      <c r="E12" s="33">
        <f>ROUND((E9-D9)/D9,4)</f>
        <v/>
      </c>
      <c r="F12" s="33">
        <f>ROUND((F9/6*12-E9)/E9,4)</f>
        <v/>
      </c>
      <c r="G12" s="33">
        <f>ROUND((G9+F9-E9)/E9,4)</f>
        <v/>
      </c>
      <c r="H12" s="33">
        <f>ROUND((H9-(G9+F9))/(G9+F9),4)</f>
        <v/>
      </c>
      <c r="I12" s="33">
        <f>ROUND((I9-H9)/H9,4)</f>
        <v/>
      </c>
      <c r="J12" s="33">
        <f>ROUND((J9-I9)/I9,4)</f>
        <v/>
      </c>
      <c r="K12" s="33">
        <f>ROUND((K9-J9)/J9,4)</f>
        <v/>
      </c>
      <c r="L12" s="33">
        <f>ROUND((L9-K9)/K9,4)</f>
        <v/>
      </c>
      <c r="M12" s="33">
        <f>ROUND((M9-L9)/L9,4)</f>
        <v/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5">
    <mergeCell ref="A1:M1"/>
    <mergeCell ref="C4:F4"/>
    <mergeCell ref="A4:A5"/>
    <mergeCell ref="G4:M4"/>
    <mergeCell ref="A2:M2"/>
  </mergeCells>
  <conditionalFormatting sqref="B11:F11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M21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.109375" defaultRowHeight="14.4"/>
  <cols>
    <col width="35" customWidth="1" style="1" min="1" max="1"/>
    <col hidden="1" width="15" customWidth="1" style="1" min="2" max="2"/>
    <col width="15" customWidth="1" style="1" min="3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投资收益分析预测表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121" t="inlineStr">
        <is>
          <t>项目</t>
        </is>
      </c>
      <c r="B4" s="121" t="n"/>
      <c r="C4" s="121" t="inlineStr">
        <is>
          <t>历史数据</t>
        </is>
      </c>
      <c r="D4" s="154" t="n"/>
      <c r="E4" s="154" t="n"/>
      <c r="F4" s="155" t="n"/>
      <c r="G4" s="124" t="inlineStr">
        <is>
          <t>未来预测</t>
        </is>
      </c>
      <c r="H4" s="154" t="n"/>
      <c r="I4" s="154" t="n"/>
      <c r="J4" s="154" t="n"/>
      <c r="K4" s="154" t="n"/>
      <c r="L4" s="154" t="n"/>
      <c r="M4" s="15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47" t="n"/>
      <c r="B5" s="121" t="n"/>
      <c r="C5" s="121" t="inlineStr">
        <is>
          <t>2022年度</t>
        </is>
      </c>
      <c r="D5" s="121" t="inlineStr">
        <is>
          <t>2023年度</t>
        </is>
      </c>
      <c r="E5" s="121" t="inlineStr">
        <is>
          <t>2024年度</t>
        </is>
      </c>
      <c r="F5" s="121" t="inlineStr">
        <is>
          <t>2025年1-6月</t>
        </is>
      </c>
      <c r="G5" s="124" t="inlineStr">
        <is>
          <t>2025年7-12月</t>
        </is>
      </c>
      <c r="H5" s="124" t="inlineStr">
        <is>
          <t>2026年度</t>
        </is>
      </c>
      <c r="I5" s="124" t="inlineStr">
        <is>
          <t>2027年度</t>
        </is>
      </c>
      <c r="J5" s="124" t="inlineStr">
        <is>
          <t>2028年度</t>
        </is>
      </c>
      <c r="K5" s="124" t="inlineStr">
        <is>
          <t>2029年度</t>
        </is>
      </c>
      <c r="L5" s="124" t="inlineStr">
        <is>
          <t>2030年度</t>
        </is>
      </c>
      <c r="M5" s="124" t="inlineStr">
        <is>
          <t>永续年度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35" t="n"/>
      <c r="B6" s="135" t="n"/>
      <c r="C6" s="149" t="n"/>
      <c r="D6" s="149" t="n"/>
      <c r="E6" s="149" t="n"/>
      <c r="F6" s="149" t="n"/>
      <c r="G6" s="149" t="n"/>
      <c r="H6" s="149" t="n"/>
      <c r="I6" s="149" t="n"/>
      <c r="J6" s="149" t="n"/>
      <c r="K6" s="149" t="n"/>
      <c r="L6" s="149" t="n"/>
      <c r="M6" s="149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35" t="n"/>
      <c r="B7" s="135" t="n"/>
      <c r="C7" s="149" t="n"/>
      <c r="D7" s="149" t="n"/>
      <c r="E7" s="149" t="n"/>
      <c r="F7" s="149" t="n"/>
      <c r="G7" s="149" t="n"/>
      <c r="H7" s="149" t="n"/>
      <c r="I7" s="149" t="n"/>
      <c r="J7" s="149" t="n"/>
      <c r="K7" s="149" t="n"/>
      <c r="L7" s="149" t="n"/>
      <c r="M7" s="149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35" t="n"/>
      <c r="B8" s="135" t="n"/>
      <c r="C8" s="149" t="n"/>
      <c r="D8" s="149" t="n"/>
      <c r="E8" s="149" t="n"/>
      <c r="F8" s="149" t="n"/>
      <c r="G8" s="149" t="n"/>
      <c r="H8" s="149" t="n"/>
      <c r="I8" s="149" t="n"/>
      <c r="J8" s="149" t="n"/>
      <c r="K8" s="149" t="n"/>
      <c r="L8" s="149" t="n"/>
      <c r="M8" s="149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36" t="inlineStr">
        <is>
          <t>合计</t>
        </is>
      </c>
      <c r="B9" s="137" t="n"/>
      <c r="C9" s="150">
        <f>SUM(C6:C8)</f>
        <v/>
      </c>
      <c r="D9" s="150">
        <f>SUM(D6:D8)</f>
        <v/>
      </c>
      <c r="E9" s="150">
        <f>SUM(E6:E8)</f>
        <v/>
      </c>
      <c r="F9" s="150">
        <f>SUM(F6:F8)</f>
        <v/>
      </c>
      <c r="G9" s="150">
        <f>SUM(G6:G8)</f>
        <v/>
      </c>
      <c r="H9" s="150">
        <f>SUM(H6:H8)</f>
        <v/>
      </c>
      <c r="I9" s="150">
        <f>SUM(I6:I8)</f>
        <v/>
      </c>
      <c r="J9" s="150">
        <f>SUM(J6:J8)</f>
        <v/>
      </c>
      <c r="K9" s="150">
        <f>SUM(K6:K8)</f>
        <v/>
      </c>
      <c r="L9" s="150">
        <f>SUM(L6:L8)</f>
        <v/>
      </c>
      <c r="M9" s="150">
        <f>SUM(M6:M8)</f>
        <v/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31" t="inlineStr">
        <is>
          <t>【HD】核对</t>
        </is>
      </c>
      <c r="B11" s="152" t="n"/>
      <c r="C11" s="152">
        <f>C9-历利调整后表!D32</f>
        <v/>
      </c>
      <c r="D11" s="152">
        <f>D9-历利调整后表!G32</f>
        <v/>
      </c>
      <c r="E11" s="152">
        <f>E9-历利调整后表!J32</f>
        <v/>
      </c>
      <c r="F11" s="152">
        <f>F9-历利调整后表!M32</f>
        <v/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31" t="inlineStr">
        <is>
          <t>增长率（%）</t>
        </is>
      </c>
      <c r="B12" s="32" t="n"/>
      <c r="C12" s="32" t="n"/>
      <c r="D12" s="33">
        <f>ROUND((D9-C9)/C9,4)</f>
        <v/>
      </c>
      <c r="E12" s="33">
        <f>ROUND((E9-D9)/D9,4)</f>
        <v/>
      </c>
      <c r="F12" s="33">
        <f>ROUND((F9/6*12-E9)/E9,4)</f>
        <v/>
      </c>
      <c r="G12" s="33">
        <f>ROUND((G9+F9-E9)/E9,4)</f>
        <v/>
      </c>
      <c r="H12" s="33">
        <f>ROUND((H9-(G9+F9))/(G9+F9),4)</f>
        <v/>
      </c>
      <c r="I12" s="33">
        <f>ROUND((I9-H9)/H9,4)</f>
        <v/>
      </c>
      <c r="J12" s="33">
        <f>ROUND((J9-I9)/I9,4)</f>
        <v/>
      </c>
      <c r="K12" s="33">
        <f>ROUND((K9-J9)/J9,4)</f>
        <v/>
      </c>
      <c r="L12" s="33">
        <f>ROUND((L9-K9)/K9,4)</f>
        <v/>
      </c>
      <c r="M12" s="33">
        <f>ROUND((M9-L9)/L9,4)</f>
        <v/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5">
    <mergeCell ref="A1:M1"/>
    <mergeCell ref="C4:F4"/>
    <mergeCell ref="A4:A5"/>
    <mergeCell ref="G4:M4"/>
    <mergeCell ref="A2:M2"/>
  </mergeCells>
  <conditionalFormatting sqref="B11:F11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M21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.109375" defaultRowHeight="14.4"/>
  <cols>
    <col width="35" customWidth="1" style="1" min="1" max="1"/>
    <col hidden="1" width="15" customWidth="1" style="1" min="2" max="2"/>
    <col width="15" customWidth="1" style="1" min="3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汇兑收益分析预测表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121" t="inlineStr">
        <is>
          <t>项目</t>
        </is>
      </c>
      <c r="B4" s="121" t="n"/>
      <c r="C4" s="121" t="inlineStr">
        <is>
          <t>历史数据</t>
        </is>
      </c>
      <c r="D4" s="154" t="n"/>
      <c r="E4" s="154" t="n"/>
      <c r="F4" s="155" t="n"/>
      <c r="G4" s="124" t="inlineStr">
        <is>
          <t>未来预测</t>
        </is>
      </c>
      <c r="H4" s="154" t="n"/>
      <c r="I4" s="154" t="n"/>
      <c r="J4" s="154" t="n"/>
      <c r="K4" s="154" t="n"/>
      <c r="L4" s="154" t="n"/>
      <c r="M4" s="15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47" t="n"/>
      <c r="B5" s="121" t="n"/>
      <c r="C5" s="121" t="inlineStr">
        <is>
          <t>2022年度</t>
        </is>
      </c>
      <c r="D5" s="121" t="inlineStr">
        <is>
          <t>2023年度</t>
        </is>
      </c>
      <c r="E5" s="121" t="inlineStr">
        <is>
          <t>2024年度</t>
        </is>
      </c>
      <c r="F5" s="121" t="inlineStr">
        <is>
          <t>2025年1-6月</t>
        </is>
      </c>
      <c r="G5" s="124" t="inlineStr">
        <is>
          <t>2025年7-12月</t>
        </is>
      </c>
      <c r="H5" s="124" t="inlineStr">
        <is>
          <t>2026年度</t>
        </is>
      </c>
      <c r="I5" s="124" t="inlineStr">
        <is>
          <t>2027年度</t>
        </is>
      </c>
      <c r="J5" s="124" t="inlineStr">
        <is>
          <t>2028年度</t>
        </is>
      </c>
      <c r="K5" s="124" t="inlineStr">
        <is>
          <t>2029年度</t>
        </is>
      </c>
      <c r="L5" s="124" t="inlineStr">
        <is>
          <t>2030年度</t>
        </is>
      </c>
      <c r="M5" s="124" t="inlineStr">
        <is>
          <t>永续年度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35" t="n"/>
      <c r="B6" s="135" t="n"/>
      <c r="C6" s="149" t="n"/>
      <c r="D6" s="149" t="n"/>
      <c r="E6" s="149" t="n"/>
      <c r="F6" s="149" t="n"/>
      <c r="G6" s="149" t="n"/>
      <c r="H6" s="149" t="n"/>
      <c r="I6" s="149" t="n"/>
      <c r="J6" s="149" t="n"/>
      <c r="K6" s="149" t="n"/>
      <c r="L6" s="149" t="n"/>
      <c r="M6" s="149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35" t="n"/>
      <c r="B7" s="135" t="n"/>
      <c r="C7" s="149" t="n"/>
      <c r="D7" s="149" t="n"/>
      <c r="E7" s="149" t="n"/>
      <c r="F7" s="149" t="n"/>
      <c r="G7" s="149" t="n"/>
      <c r="H7" s="149" t="n"/>
      <c r="I7" s="149" t="n"/>
      <c r="J7" s="149" t="n"/>
      <c r="K7" s="149" t="n"/>
      <c r="L7" s="149" t="n"/>
      <c r="M7" s="149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35" t="n"/>
      <c r="B8" s="135" t="n"/>
      <c r="C8" s="149" t="n"/>
      <c r="D8" s="149" t="n"/>
      <c r="E8" s="149" t="n"/>
      <c r="F8" s="149" t="n"/>
      <c r="G8" s="149" t="n"/>
      <c r="H8" s="149" t="n"/>
      <c r="I8" s="149" t="n"/>
      <c r="J8" s="149" t="n"/>
      <c r="K8" s="149" t="n"/>
      <c r="L8" s="149" t="n"/>
      <c r="M8" s="149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36" t="inlineStr">
        <is>
          <t>合计</t>
        </is>
      </c>
      <c r="B9" s="137" t="n"/>
      <c r="C9" s="150">
        <f>SUM(C6:C8)</f>
        <v/>
      </c>
      <c r="D9" s="150">
        <f>SUM(D6:D8)</f>
        <v/>
      </c>
      <c r="E9" s="150">
        <f>SUM(E6:E8)</f>
        <v/>
      </c>
      <c r="F9" s="150">
        <f>SUM(F6:F8)</f>
        <v/>
      </c>
      <c r="G9" s="150">
        <f>SUM(G6:G8)</f>
        <v/>
      </c>
      <c r="H9" s="150">
        <f>SUM(H6:H8)</f>
        <v/>
      </c>
      <c r="I9" s="150">
        <f>SUM(I6:I8)</f>
        <v/>
      </c>
      <c r="J9" s="150">
        <f>SUM(J6:J8)</f>
        <v/>
      </c>
      <c r="K9" s="150">
        <f>SUM(K6:K8)</f>
        <v/>
      </c>
      <c r="L9" s="150">
        <f>SUM(L6:L8)</f>
        <v/>
      </c>
      <c r="M9" s="150">
        <f>SUM(M6:M8)</f>
        <v/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31" t="inlineStr">
        <is>
          <t>【HD】核对</t>
        </is>
      </c>
      <c r="B11" s="152" t="n"/>
      <c r="C11" s="152">
        <f>C9-历利调整后表!D35</f>
        <v/>
      </c>
      <c r="D11" s="152">
        <f>D9-历利调整后表!G35</f>
        <v/>
      </c>
      <c r="E11" s="152">
        <f>E9-历利调整后表!J35</f>
        <v/>
      </c>
      <c r="F11" s="152">
        <f>F9-历利调整后表!M35</f>
        <v/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31" t="inlineStr">
        <is>
          <t>增长率（%）</t>
        </is>
      </c>
      <c r="B12" s="32" t="n"/>
      <c r="C12" s="32" t="n"/>
      <c r="D12" s="33">
        <f>ROUND((D9-C9)/C9,4)</f>
        <v/>
      </c>
      <c r="E12" s="33">
        <f>ROUND((E9-D9)/D9,4)</f>
        <v/>
      </c>
      <c r="F12" s="33">
        <f>ROUND((F9/6*12-E9)/E9,4)</f>
        <v/>
      </c>
      <c r="G12" s="33">
        <f>ROUND((G9+F9-E9)/E9,4)</f>
        <v/>
      </c>
      <c r="H12" s="33">
        <f>ROUND((H9-(G9+F9))/(G9+F9),4)</f>
        <v/>
      </c>
      <c r="I12" s="33">
        <f>ROUND((I9-H9)/H9,4)</f>
        <v/>
      </c>
      <c r="J12" s="33">
        <f>ROUND((J9-I9)/I9,4)</f>
        <v/>
      </c>
      <c r="K12" s="33">
        <f>ROUND((K9-J9)/J9,4)</f>
        <v/>
      </c>
      <c r="L12" s="33">
        <f>ROUND((L9-K9)/K9,4)</f>
        <v/>
      </c>
      <c r="M12" s="33">
        <f>ROUND((M9-L9)/L9,4)</f>
        <v/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5">
    <mergeCell ref="A1:M1"/>
    <mergeCell ref="C4:F4"/>
    <mergeCell ref="A4:A5"/>
    <mergeCell ref="G4:M4"/>
    <mergeCell ref="A2:M2"/>
  </mergeCells>
  <conditionalFormatting sqref="B11:F11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M21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.109375" defaultRowHeight="14.4"/>
  <cols>
    <col width="35" customWidth="1" style="1" min="1" max="1"/>
    <col hidden="1" width="15" customWidth="1" style="1" min="2" max="2"/>
    <col width="15" customWidth="1" style="1" min="3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净敞口套期收益分析预测表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121" t="inlineStr">
        <is>
          <t>项目</t>
        </is>
      </c>
      <c r="B4" s="121" t="n"/>
      <c r="C4" s="121" t="inlineStr">
        <is>
          <t>历史数据</t>
        </is>
      </c>
      <c r="D4" s="154" t="n"/>
      <c r="E4" s="154" t="n"/>
      <c r="F4" s="155" t="n"/>
      <c r="G4" s="124" t="inlineStr">
        <is>
          <t>未来预测</t>
        </is>
      </c>
      <c r="H4" s="154" t="n"/>
      <c r="I4" s="154" t="n"/>
      <c r="J4" s="154" t="n"/>
      <c r="K4" s="154" t="n"/>
      <c r="L4" s="154" t="n"/>
      <c r="M4" s="15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47" t="n"/>
      <c r="B5" s="121" t="n"/>
      <c r="C5" s="121" t="inlineStr">
        <is>
          <t>2022年度</t>
        </is>
      </c>
      <c r="D5" s="121" t="inlineStr">
        <is>
          <t>2023年度</t>
        </is>
      </c>
      <c r="E5" s="121" t="inlineStr">
        <is>
          <t>2024年度</t>
        </is>
      </c>
      <c r="F5" s="121" t="inlineStr">
        <is>
          <t>2025年1-6月</t>
        </is>
      </c>
      <c r="G5" s="124" t="inlineStr">
        <is>
          <t>2025年7-12月</t>
        </is>
      </c>
      <c r="H5" s="124" t="inlineStr">
        <is>
          <t>2026年度</t>
        </is>
      </c>
      <c r="I5" s="124" t="inlineStr">
        <is>
          <t>2027年度</t>
        </is>
      </c>
      <c r="J5" s="124" t="inlineStr">
        <is>
          <t>2028年度</t>
        </is>
      </c>
      <c r="K5" s="124" t="inlineStr">
        <is>
          <t>2029年度</t>
        </is>
      </c>
      <c r="L5" s="124" t="inlineStr">
        <is>
          <t>2030年度</t>
        </is>
      </c>
      <c r="M5" s="124" t="inlineStr">
        <is>
          <t>永续年度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35" t="n"/>
      <c r="B6" s="135" t="n"/>
      <c r="C6" s="149" t="n"/>
      <c r="D6" s="149" t="n"/>
      <c r="E6" s="149" t="n"/>
      <c r="F6" s="149" t="n"/>
      <c r="G6" s="149" t="n"/>
      <c r="H6" s="149" t="n"/>
      <c r="I6" s="149" t="n"/>
      <c r="J6" s="149" t="n"/>
      <c r="K6" s="149" t="n"/>
      <c r="L6" s="149" t="n"/>
      <c r="M6" s="149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35" t="n"/>
      <c r="B7" s="135" t="n"/>
      <c r="C7" s="149" t="n"/>
      <c r="D7" s="149" t="n"/>
      <c r="E7" s="149" t="n"/>
      <c r="F7" s="149" t="n"/>
      <c r="G7" s="149" t="n"/>
      <c r="H7" s="149" t="n"/>
      <c r="I7" s="149" t="n"/>
      <c r="J7" s="149" t="n"/>
      <c r="K7" s="149" t="n"/>
      <c r="L7" s="149" t="n"/>
      <c r="M7" s="149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35" t="n"/>
      <c r="B8" s="135" t="n"/>
      <c r="C8" s="149" t="n"/>
      <c r="D8" s="149" t="n"/>
      <c r="E8" s="149" t="n"/>
      <c r="F8" s="149" t="n"/>
      <c r="G8" s="149" t="n"/>
      <c r="H8" s="149" t="n"/>
      <c r="I8" s="149" t="n"/>
      <c r="J8" s="149" t="n"/>
      <c r="K8" s="149" t="n"/>
      <c r="L8" s="149" t="n"/>
      <c r="M8" s="149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36" t="inlineStr">
        <is>
          <t>合计</t>
        </is>
      </c>
      <c r="B9" s="137" t="n"/>
      <c r="C9" s="150">
        <f>SUM(C6:C8)</f>
        <v/>
      </c>
      <c r="D9" s="150">
        <f>SUM(D6:D8)</f>
        <v/>
      </c>
      <c r="E9" s="150">
        <f>SUM(E6:E8)</f>
        <v/>
      </c>
      <c r="F9" s="150">
        <f>SUM(F6:F8)</f>
        <v/>
      </c>
      <c r="G9" s="150">
        <f>SUM(G6:G8)</f>
        <v/>
      </c>
      <c r="H9" s="150">
        <f>SUM(H6:H8)</f>
        <v/>
      </c>
      <c r="I9" s="150">
        <f>SUM(I6:I8)</f>
        <v/>
      </c>
      <c r="J9" s="150">
        <f>SUM(J6:J8)</f>
        <v/>
      </c>
      <c r="K9" s="150">
        <f>SUM(K6:K8)</f>
        <v/>
      </c>
      <c r="L9" s="150">
        <f>SUM(L6:L8)</f>
        <v/>
      </c>
      <c r="M9" s="150">
        <f>SUM(M6:M8)</f>
        <v/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31" t="inlineStr">
        <is>
          <t>【HD】核对</t>
        </is>
      </c>
      <c r="B11" s="152" t="n"/>
      <c r="C11" s="152">
        <f>C9-历利调整后表!D36</f>
        <v/>
      </c>
      <c r="D11" s="152">
        <f>D9-历利调整后表!G36</f>
        <v/>
      </c>
      <c r="E11" s="152">
        <f>E9-历利调整后表!J36</f>
        <v/>
      </c>
      <c r="F11" s="152">
        <f>F9-历利调整后表!M36</f>
        <v/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31" t="inlineStr">
        <is>
          <t>增长率（%）</t>
        </is>
      </c>
      <c r="B12" s="32" t="n"/>
      <c r="C12" s="32" t="n"/>
      <c r="D12" s="33">
        <f>ROUND((D9-C9)/C9,4)</f>
        <v/>
      </c>
      <c r="E12" s="33">
        <f>ROUND((E9-D9)/D9,4)</f>
        <v/>
      </c>
      <c r="F12" s="33">
        <f>ROUND((F9/6*12-E9)/E9,4)</f>
        <v/>
      </c>
      <c r="G12" s="33">
        <f>ROUND((G9+F9-E9)/E9,4)</f>
        <v/>
      </c>
      <c r="H12" s="33">
        <f>ROUND((H9-(G9+F9))/(G9+F9),4)</f>
        <v/>
      </c>
      <c r="I12" s="33">
        <f>ROUND((I9-H9)/H9,4)</f>
        <v/>
      </c>
      <c r="J12" s="33">
        <f>ROUND((J9-I9)/I9,4)</f>
        <v/>
      </c>
      <c r="K12" s="33">
        <f>ROUND((K9-J9)/J9,4)</f>
        <v/>
      </c>
      <c r="L12" s="33">
        <f>ROUND((L9-K9)/K9,4)</f>
        <v/>
      </c>
      <c r="M12" s="33">
        <f>ROUND((M9-L9)/L9,4)</f>
        <v/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5">
    <mergeCell ref="A1:M1"/>
    <mergeCell ref="C4:F4"/>
    <mergeCell ref="A4:A5"/>
    <mergeCell ref="G4:M4"/>
    <mergeCell ref="A2:M2"/>
  </mergeCells>
  <conditionalFormatting sqref="B11:F11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M21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.109375" defaultRowHeight="14.4"/>
  <cols>
    <col width="35" customWidth="1" style="1" min="1" max="1"/>
    <col hidden="1" width="15" customWidth="1" style="1" min="2" max="2"/>
    <col width="15" customWidth="1" style="1" min="3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公允价值变动收益分析预测表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121" t="inlineStr">
        <is>
          <t>项目</t>
        </is>
      </c>
      <c r="B4" s="121" t="n"/>
      <c r="C4" s="121" t="inlineStr">
        <is>
          <t>历史数据</t>
        </is>
      </c>
      <c r="D4" s="154" t="n"/>
      <c r="E4" s="154" t="n"/>
      <c r="F4" s="155" t="n"/>
      <c r="G4" s="124" t="inlineStr">
        <is>
          <t>未来预测</t>
        </is>
      </c>
      <c r="H4" s="154" t="n"/>
      <c r="I4" s="154" t="n"/>
      <c r="J4" s="154" t="n"/>
      <c r="K4" s="154" t="n"/>
      <c r="L4" s="154" t="n"/>
      <c r="M4" s="15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47" t="n"/>
      <c r="B5" s="121" t="n"/>
      <c r="C5" s="121" t="inlineStr">
        <is>
          <t>2022年度</t>
        </is>
      </c>
      <c r="D5" s="121" t="inlineStr">
        <is>
          <t>2023年度</t>
        </is>
      </c>
      <c r="E5" s="121" t="inlineStr">
        <is>
          <t>2024年度</t>
        </is>
      </c>
      <c r="F5" s="121" t="inlineStr">
        <is>
          <t>2025年1-6月</t>
        </is>
      </c>
      <c r="G5" s="124" t="inlineStr">
        <is>
          <t>2025年7-12月</t>
        </is>
      </c>
      <c r="H5" s="124" t="inlineStr">
        <is>
          <t>2026年度</t>
        </is>
      </c>
      <c r="I5" s="124" t="inlineStr">
        <is>
          <t>2027年度</t>
        </is>
      </c>
      <c r="J5" s="124" t="inlineStr">
        <is>
          <t>2028年度</t>
        </is>
      </c>
      <c r="K5" s="124" t="inlineStr">
        <is>
          <t>2029年度</t>
        </is>
      </c>
      <c r="L5" s="124" t="inlineStr">
        <is>
          <t>2030年度</t>
        </is>
      </c>
      <c r="M5" s="124" t="inlineStr">
        <is>
          <t>永续年度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35" t="n"/>
      <c r="B6" s="135" t="n"/>
      <c r="C6" s="149" t="n"/>
      <c r="D6" s="149" t="n"/>
      <c r="E6" s="149" t="n"/>
      <c r="F6" s="149" t="n"/>
      <c r="G6" s="149" t="n"/>
      <c r="H6" s="149" t="n"/>
      <c r="I6" s="149" t="n"/>
      <c r="J6" s="149" t="n"/>
      <c r="K6" s="149" t="n"/>
      <c r="L6" s="149" t="n"/>
      <c r="M6" s="149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35" t="n"/>
      <c r="B7" s="135" t="n"/>
      <c r="C7" s="149" t="n"/>
      <c r="D7" s="149" t="n"/>
      <c r="E7" s="149" t="n"/>
      <c r="F7" s="149" t="n"/>
      <c r="G7" s="149" t="n"/>
      <c r="H7" s="149" t="n"/>
      <c r="I7" s="149" t="n"/>
      <c r="J7" s="149" t="n"/>
      <c r="K7" s="149" t="n"/>
      <c r="L7" s="149" t="n"/>
      <c r="M7" s="149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35" t="n"/>
      <c r="B8" s="135" t="n"/>
      <c r="C8" s="149" t="n"/>
      <c r="D8" s="149" t="n"/>
      <c r="E8" s="149" t="n"/>
      <c r="F8" s="149" t="n"/>
      <c r="G8" s="149" t="n"/>
      <c r="H8" s="149" t="n"/>
      <c r="I8" s="149" t="n"/>
      <c r="J8" s="149" t="n"/>
      <c r="K8" s="149" t="n"/>
      <c r="L8" s="149" t="n"/>
      <c r="M8" s="149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36" t="inlineStr">
        <is>
          <t>合计</t>
        </is>
      </c>
      <c r="B9" s="137" t="n"/>
      <c r="C9" s="150">
        <f>SUM(C6:C8)</f>
        <v/>
      </c>
      <c r="D9" s="150">
        <f>SUM(D6:D8)</f>
        <v/>
      </c>
      <c r="E9" s="150">
        <f>SUM(E6:E8)</f>
        <v/>
      </c>
      <c r="F9" s="150">
        <f>SUM(F6:F8)</f>
        <v/>
      </c>
      <c r="G9" s="150">
        <f>SUM(G6:G8)</f>
        <v/>
      </c>
      <c r="H9" s="150">
        <f>SUM(H6:H8)</f>
        <v/>
      </c>
      <c r="I9" s="150">
        <f>SUM(I6:I8)</f>
        <v/>
      </c>
      <c r="J9" s="150">
        <f>SUM(J6:J8)</f>
        <v/>
      </c>
      <c r="K9" s="150">
        <f>SUM(K6:K8)</f>
        <v/>
      </c>
      <c r="L9" s="150">
        <f>SUM(L6:L8)</f>
        <v/>
      </c>
      <c r="M9" s="150">
        <f>SUM(M6:M8)</f>
        <v/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31" t="inlineStr">
        <is>
          <t>【HD】核对</t>
        </is>
      </c>
      <c r="B11" s="152" t="n"/>
      <c r="C11" s="152">
        <f>C9-历利调整后表!D37</f>
        <v/>
      </c>
      <c r="D11" s="152">
        <f>D9-历利调整后表!G37</f>
        <v/>
      </c>
      <c r="E11" s="152">
        <f>E9-历利调整后表!J37</f>
        <v/>
      </c>
      <c r="F11" s="152">
        <f>F9-历利调整后表!M37</f>
        <v/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31" t="inlineStr">
        <is>
          <t>增长率（%）</t>
        </is>
      </c>
      <c r="B12" s="32" t="n"/>
      <c r="C12" s="32" t="n"/>
      <c r="D12" s="33">
        <f>ROUND((D9-C9)/C9,4)</f>
        <v/>
      </c>
      <c r="E12" s="33">
        <f>ROUND((E9-D9)/D9,4)</f>
        <v/>
      </c>
      <c r="F12" s="33">
        <f>ROUND((F9/6*12-E9)/E9,4)</f>
        <v/>
      </c>
      <c r="G12" s="33">
        <f>ROUND((G9+F9-E9)/E9,4)</f>
        <v/>
      </c>
      <c r="H12" s="33">
        <f>ROUND((H9-(G9+F9))/(G9+F9),4)</f>
        <v/>
      </c>
      <c r="I12" s="33">
        <f>ROUND((I9-H9)/H9,4)</f>
        <v/>
      </c>
      <c r="J12" s="33">
        <f>ROUND((J9-I9)/I9,4)</f>
        <v/>
      </c>
      <c r="K12" s="33">
        <f>ROUND((K9-J9)/J9,4)</f>
        <v/>
      </c>
      <c r="L12" s="33">
        <f>ROUND((L9-K9)/K9,4)</f>
        <v/>
      </c>
      <c r="M12" s="33">
        <f>ROUND((M9-L9)/L9,4)</f>
        <v/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5">
    <mergeCell ref="A1:M1"/>
    <mergeCell ref="C4:F4"/>
    <mergeCell ref="A4:A5"/>
    <mergeCell ref="G4:M4"/>
    <mergeCell ref="A2:M2"/>
  </mergeCells>
  <conditionalFormatting sqref="B11:F11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M21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.109375" defaultRowHeight="14.4"/>
  <cols>
    <col width="35" customWidth="1" style="1" min="1" max="1"/>
    <col hidden="1" width="15" customWidth="1" style="1" min="2" max="2"/>
    <col width="15" customWidth="1" style="1" min="3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信用减值损失分析预测表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121" t="inlineStr">
        <is>
          <t>项目</t>
        </is>
      </c>
      <c r="B4" s="121" t="n"/>
      <c r="C4" s="121" t="inlineStr">
        <is>
          <t>历史数据</t>
        </is>
      </c>
      <c r="D4" s="154" t="n"/>
      <c r="E4" s="154" t="n"/>
      <c r="F4" s="155" t="n"/>
      <c r="G4" s="124" t="inlineStr">
        <is>
          <t>未来预测</t>
        </is>
      </c>
      <c r="H4" s="154" t="n"/>
      <c r="I4" s="154" t="n"/>
      <c r="J4" s="154" t="n"/>
      <c r="K4" s="154" t="n"/>
      <c r="L4" s="154" t="n"/>
      <c r="M4" s="15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47" t="n"/>
      <c r="B5" s="121" t="n"/>
      <c r="C5" s="121" t="inlineStr">
        <is>
          <t>2022年度</t>
        </is>
      </c>
      <c r="D5" s="121" t="inlineStr">
        <is>
          <t>2023年度</t>
        </is>
      </c>
      <c r="E5" s="121" t="inlineStr">
        <is>
          <t>2024年度</t>
        </is>
      </c>
      <c r="F5" s="121" t="inlineStr">
        <is>
          <t>2025年1-6月</t>
        </is>
      </c>
      <c r="G5" s="124" t="inlineStr">
        <is>
          <t>2025年7-12月</t>
        </is>
      </c>
      <c r="H5" s="124" t="inlineStr">
        <is>
          <t>2026年度</t>
        </is>
      </c>
      <c r="I5" s="124" t="inlineStr">
        <is>
          <t>2027年度</t>
        </is>
      </c>
      <c r="J5" s="124" t="inlineStr">
        <is>
          <t>2028年度</t>
        </is>
      </c>
      <c r="K5" s="124" t="inlineStr">
        <is>
          <t>2029年度</t>
        </is>
      </c>
      <c r="L5" s="124" t="inlineStr">
        <is>
          <t>2030年度</t>
        </is>
      </c>
      <c r="M5" s="124" t="inlineStr">
        <is>
          <t>永续年度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35" t="n"/>
      <c r="B6" s="135" t="n"/>
      <c r="C6" s="149" t="n"/>
      <c r="D6" s="149" t="n"/>
      <c r="E6" s="149" t="n"/>
      <c r="F6" s="149" t="n"/>
      <c r="G6" s="149" t="n"/>
      <c r="H6" s="149" t="n"/>
      <c r="I6" s="149" t="n"/>
      <c r="J6" s="149" t="n"/>
      <c r="K6" s="149" t="n"/>
      <c r="L6" s="149" t="n"/>
      <c r="M6" s="149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35" t="n"/>
      <c r="B7" s="135" t="n"/>
      <c r="C7" s="149" t="n"/>
      <c r="D7" s="149" t="n"/>
      <c r="E7" s="149" t="n"/>
      <c r="F7" s="149" t="n"/>
      <c r="G7" s="149" t="n"/>
      <c r="H7" s="149" t="n"/>
      <c r="I7" s="149" t="n"/>
      <c r="J7" s="149" t="n"/>
      <c r="K7" s="149" t="n"/>
      <c r="L7" s="149" t="n"/>
      <c r="M7" s="149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35" t="n"/>
      <c r="B8" s="135" t="n"/>
      <c r="C8" s="149" t="n"/>
      <c r="D8" s="149" t="n"/>
      <c r="E8" s="149" t="n"/>
      <c r="F8" s="149" t="n"/>
      <c r="G8" s="149" t="n"/>
      <c r="H8" s="149" t="n"/>
      <c r="I8" s="149" t="n"/>
      <c r="J8" s="149" t="n"/>
      <c r="K8" s="149" t="n"/>
      <c r="L8" s="149" t="n"/>
      <c r="M8" s="149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36" t="inlineStr">
        <is>
          <t>合计</t>
        </is>
      </c>
      <c r="B9" s="137" t="n"/>
      <c r="C9" s="150">
        <f>SUM(C6:C8)</f>
        <v/>
      </c>
      <c r="D9" s="150">
        <f>SUM(D6:D8)</f>
        <v/>
      </c>
      <c r="E9" s="150">
        <f>SUM(E6:E8)</f>
        <v/>
      </c>
      <c r="F9" s="150">
        <f>SUM(F6:F8)</f>
        <v/>
      </c>
      <c r="G9" s="150">
        <f>SUM(G6:G8)</f>
        <v/>
      </c>
      <c r="H9" s="150">
        <f>SUM(H6:H8)</f>
        <v/>
      </c>
      <c r="I9" s="150">
        <f>SUM(I6:I8)</f>
        <v/>
      </c>
      <c r="J9" s="150">
        <f>SUM(J6:J8)</f>
        <v/>
      </c>
      <c r="K9" s="150">
        <f>SUM(K6:K8)</f>
        <v/>
      </c>
      <c r="L9" s="150">
        <f>SUM(L6:L8)</f>
        <v/>
      </c>
      <c r="M9" s="150">
        <f>SUM(M6:M8)</f>
        <v/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31" t="inlineStr">
        <is>
          <t>【HD】核对</t>
        </is>
      </c>
      <c r="B11" s="152" t="n"/>
      <c r="C11" s="152">
        <f>C9+历利调整后表!D38</f>
        <v/>
      </c>
      <c r="D11" s="152">
        <f>D9+历利调整后表!G38</f>
        <v/>
      </c>
      <c r="E11" s="152">
        <f>E9+历利调整后表!J38</f>
        <v/>
      </c>
      <c r="F11" s="152">
        <f>F9+历利调整后表!M38</f>
        <v/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31" t="inlineStr">
        <is>
          <t>增长率（%）</t>
        </is>
      </c>
      <c r="B12" s="32" t="n"/>
      <c r="C12" s="32" t="n"/>
      <c r="D12" s="33">
        <f>ROUND((D9-C9)/C9,4)</f>
        <v/>
      </c>
      <c r="E12" s="33">
        <f>ROUND((E9-D9)/D9,4)</f>
        <v/>
      </c>
      <c r="F12" s="33">
        <f>ROUND((F9/6*12-E9)/E9,4)</f>
        <v/>
      </c>
      <c r="G12" s="33">
        <f>ROUND((G9+F9-E9)/E9,4)</f>
        <v/>
      </c>
      <c r="H12" s="33">
        <f>ROUND((H9-(G9+F9))/(G9+F9),4)</f>
        <v/>
      </c>
      <c r="I12" s="33">
        <f>ROUND((I9-H9)/H9,4)</f>
        <v/>
      </c>
      <c r="J12" s="33">
        <f>ROUND((J9-I9)/I9,4)</f>
        <v/>
      </c>
      <c r="K12" s="33">
        <f>ROUND((K9-J9)/J9,4)</f>
        <v/>
      </c>
      <c r="L12" s="33">
        <f>ROUND((L9-K9)/K9,4)</f>
        <v/>
      </c>
      <c r="M12" s="33">
        <f>ROUND((M9-L9)/L9,4)</f>
        <v/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5">
    <mergeCell ref="A1:M1"/>
    <mergeCell ref="C4:F4"/>
    <mergeCell ref="A4:A5"/>
    <mergeCell ref="G4:M4"/>
    <mergeCell ref="A2:M2"/>
  </mergeCells>
  <conditionalFormatting sqref="B11:F11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M21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.109375" defaultRowHeight="14.4"/>
  <cols>
    <col width="35" customWidth="1" style="1" min="1" max="1"/>
    <col hidden="1" width="15" customWidth="1" style="1" min="2" max="2"/>
    <col width="15" customWidth="1" style="1" min="3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资产减值损失分析预测表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121" t="inlineStr">
        <is>
          <t>项目</t>
        </is>
      </c>
      <c r="B4" s="121" t="n"/>
      <c r="C4" s="121" t="inlineStr">
        <is>
          <t>历史数据</t>
        </is>
      </c>
      <c r="D4" s="154" t="n"/>
      <c r="E4" s="154" t="n"/>
      <c r="F4" s="155" t="n"/>
      <c r="G4" s="124" t="inlineStr">
        <is>
          <t>未来预测</t>
        </is>
      </c>
      <c r="H4" s="154" t="n"/>
      <c r="I4" s="154" t="n"/>
      <c r="J4" s="154" t="n"/>
      <c r="K4" s="154" t="n"/>
      <c r="L4" s="154" t="n"/>
      <c r="M4" s="15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47" t="n"/>
      <c r="B5" s="121" t="n"/>
      <c r="C5" s="121" t="inlineStr">
        <is>
          <t>2022年度</t>
        </is>
      </c>
      <c r="D5" s="121" t="inlineStr">
        <is>
          <t>2023年度</t>
        </is>
      </c>
      <c r="E5" s="121" t="inlineStr">
        <is>
          <t>2024年度</t>
        </is>
      </c>
      <c r="F5" s="121" t="inlineStr">
        <is>
          <t>2025年1-6月</t>
        </is>
      </c>
      <c r="G5" s="124" t="inlineStr">
        <is>
          <t>2025年7-12月</t>
        </is>
      </c>
      <c r="H5" s="124" t="inlineStr">
        <is>
          <t>2026年度</t>
        </is>
      </c>
      <c r="I5" s="124" t="inlineStr">
        <is>
          <t>2027年度</t>
        </is>
      </c>
      <c r="J5" s="124" t="inlineStr">
        <is>
          <t>2028年度</t>
        </is>
      </c>
      <c r="K5" s="124" t="inlineStr">
        <is>
          <t>2029年度</t>
        </is>
      </c>
      <c r="L5" s="124" t="inlineStr">
        <is>
          <t>2030年度</t>
        </is>
      </c>
      <c r="M5" s="124" t="inlineStr">
        <is>
          <t>永续年度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35" t="n"/>
      <c r="B6" s="135" t="n"/>
      <c r="C6" s="149" t="n"/>
      <c r="D6" s="149" t="n"/>
      <c r="E6" s="149" t="n"/>
      <c r="F6" s="149" t="n"/>
      <c r="G6" s="149" t="n"/>
      <c r="H6" s="149" t="n"/>
      <c r="I6" s="149" t="n"/>
      <c r="J6" s="149" t="n"/>
      <c r="K6" s="149" t="n"/>
      <c r="L6" s="149" t="n"/>
      <c r="M6" s="149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35" t="n"/>
      <c r="B7" s="135" t="n"/>
      <c r="C7" s="149" t="n"/>
      <c r="D7" s="149" t="n"/>
      <c r="E7" s="149" t="n"/>
      <c r="F7" s="149" t="n"/>
      <c r="G7" s="149" t="n"/>
      <c r="H7" s="149" t="n"/>
      <c r="I7" s="149" t="n"/>
      <c r="J7" s="149" t="n"/>
      <c r="K7" s="149" t="n"/>
      <c r="L7" s="149" t="n"/>
      <c r="M7" s="149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35" t="n"/>
      <c r="B8" s="135" t="n"/>
      <c r="C8" s="149" t="n"/>
      <c r="D8" s="149" t="n"/>
      <c r="E8" s="149" t="n"/>
      <c r="F8" s="149" t="n"/>
      <c r="G8" s="149" t="n"/>
      <c r="H8" s="149" t="n"/>
      <c r="I8" s="149" t="n"/>
      <c r="J8" s="149" t="n"/>
      <c r="K8" s="149" t="n"/>
      <c r="L8" s="149" t="n"/>
      <c r="M8" s="149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36" t="inlineStr">
        <is>
          <t>合计</t>
        </is>
      </c>
      <c r="B9" s="137" t="n"/>
      <c r="C9" s="150">
        <f>SUM(C6:C8)</f>
        <v/>
      </c>
      <c r="D9" s="150">
        <f>SUM(D6:D8)</f>
        <v/>
      </c>
      <c r="E9" s="150">
        <f>SUM(E6:E8)</f>
        <v/>
      </c>
      <c r="F9" s="150">
        <f>SUM(F6:F8)</f>
        <v/>
      </c>
      <c r="G9" s="150">
        <f>SUM(G6:G8)</f>
        <v/>
      </c>
      <c r="H9" s="150">
        <f>SUM(H6:H8)</f>
        <v/>
      </c>
      <c r="I9" s="150">
        <f>SUM(I6:I8)</f>
        <v/>
      </c>
      <c r="J9" s="150">
        <f>SUM(J6:J8)</f>
        <v/>
      </c>
      <c r="K9" s="150">
        <f>SUM(K6:K8)</f>
        <v/>
      </c>
      <c r="L9" s="150">
        <f>SUM(L6:L8)</f>
        <v/>
      </c>
      <c r="M9" s="150">
        <f>SUM(M6:M8)</f>
        <v/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31" t="inlineStr">
        <is>
          <t>【HD】核对</t>
        </is>
      </c>
      <c r="B11" s="152" t="n"/>
      <c r="C11" s="152">
        <f>C9+历利调整后表!D39</f>
        <v/>
      </c>
      <c r="D11" s="152">
        <f>D9+历利调整后表!G39</f>
        <v/>
      </c>
      <c r="E11" s="152">
        <f>E9+历利调整后表!J39</f>
        <v/>
      </c>
      <c r="F11" s="152">
        <f>F9+历利调整后表!M39</f>
        <v/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31" t="inlineStr">
        <is>
          <t>增长率（%）</t>
        </is>
      </c>
      <c r="B12" s="32" t="n"/>
      <c r="C12" s="32" t="n"/>
      <c r="D12" s="33">
        <f>ROUND((D9-C9)/C9,4)</f>
        <v/>
      </c>
      <c r="E12" s="33">
        <f>ROUND((E9-D9)/D9,4)</f>
        <v/>
      </c>
      <c r="F12" s="33">
        <f>ROUND((F9/6*12-E9)/E9,4)</f>
        <v/>
      </c>
      <c r="G12" s="33">
        <f>ROUND((G9+F9-E9)/E9,4)</f>
        <v/>
      </c>
      <c r="H12" s="33">
        <f>ROUND((H9-(G9+F9))/(G9+F9),4)</f>
        <v/>
      </c>
      <c r="I12" s="33">
        <f>ROUND((I9-H9)/H9,4)</f>
        <v/>
      </c>
      <c r="J12" s="33">
        <f>ROUND((J9-I9)/I9,4)</f>
        <v/>
      </c>
      <c r="K12" s="33">
        <f>ROUND((K9-J9)/J9,4)</f>
        <v/>
      </c>
      <c r="L12" s="33">
        <f>ROUND((L9-K9)/K9,4)</f>
        <v/>
      </c>
      <c r="M12" s="33">
        <f>ROUND((M9-L9)/L9,4)</f>
        <v/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5">
    <mergeCell ref="A1:M1"/>
    <mergeCell ref="C4:F4"/>
    <mergeCell ref="A4:A5"/>
    <mergeCell ref="G4:M4"/>
    <mergeCell ref="A2:M2"/>
  </mergeCells>
  <conditionalFormatting sqref="B11:F11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M21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.109375" defaultRowHeight="14.4"/>
  <cols>
    <col width="35" customWidth="1" style="1" min="1" max="1"/>
    <col hidden="1" width="15" customWidth="1" style="1" min="2" max="2"/>
    <col width="15" customWidth="1" style="1" min="3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资产处置收益分析预测表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121" t="inlineStr">
        <is>
          <t>项目</t>
        </is>
      </c>
      <c r="B4" s="121" t="n"/>
      <c r="C4" s="121" t="inlineStr">
        <is>
          <t>历史数据</t>
        </is>
      </c>
      <c r="D4" s="154" t="n"/>
      <c r="E4" s="154" t="n"/>
      <c r="F4" s="155" t="n"/>
      <c r="G4" s="124" t="inlineStr">
        <is>
          <t>未来预测</t>
        </is>
      </c>
      <c r="H4" s="154" t="n"/>
      <c r="I4" s="154" t="n"/>
      <c r="J4" s="154" t="n"/>
      <c r="K4" s="154" t="n"/>
      <c r="L4" s="154" t="n"/>
      <c r="M4" s="15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47" t="n"/>
      <c r="B5" s="121" t="n"/>
      <c r="C5" s="121" t="inlineStr">
        <is>
          <t>2022年度</t>
        </is>
      </c>
      <c r="D5" s="121" t="inlineStr">
        <is>
          <t>2023年度</t>
        </is>
      </c>
      <c r="E5" s="121" t="inlineStr">
        <is>
          <t>2024年度</t>
        </is>
      </c>
      <c r="F5" s="121" t="inlineStr">
        <is>
          <t>2025年1-6月</t>
        </is>
      </c>
      <c r="G5" s="124" t="inlineStr">
        <is>
          <t>2025年7-12月</t>
        </is>
      </c>
      <c r="H5" s="124" t="inlineStr">
        <is>
          <t>2026年度</t>
        </is>
      </c>
      <c r="I5" s="124" t="inlineStr">
        <is>
          <t>2027年度</t>
        </is>
      </c>
      <c r="J5" s="124" t="inlineStr">
        <is>
          <t>2028年度</t>
        </is>
      </c>
      <c r="K5" s="124" t="inlineStr">
        <is>
          <t>2029年度</t>
        </is>
      </c>
      <c r="L5" s="124" t="inlineStr">
        <is>
          <t>2030年度</t>
        </is>
      </c>
      <c r="M5" s="124" t="inlineStr">
        <is>
          <t>永续年度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35" t="n"/>
      <c r="B6" s="135" t="n"/>
      <c r="C6" s="149" t="n"/>
      <c r="D6" s="149" t="n"/>
      <c r="E6" s="149" t="n"/>
      <c r="F6" s="149" t="n"/>
      <c r="G6" s="149" t="n"/>
      <c r="H6" s="149" t="n"/>
      <c r="I6" s="149" t="n"/>
      <c r="J6" s="149" t="n"/>
      <c r="K6" s="149" t="n"/>
      <c r="L6" s="149" t="n"/>
      <c r="M6" s="149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35" t="n"/>
      <c r="B7" s="135" t="n"/>
      <c r="C7" s="149" t="n"/>
      <c r="D7" s="149" t="n"/>
      <c r="E7" s="149" t="n"/>
      <c r="F7" s="149" t="n"/>
      <c r="G7" s="149" t="n"/>
      <c r="H7" s="149" t="n"/>
      <c r="I7" s="149" t="n"/>
      <c r="J7" s="149" t="n"/>
      <c r="K7" s="149" t="n"/>
      <c r="L7" s="149" t="n"/>
      <c r="M7" s="149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35" t="n"/>
      <c r="B8" s="135" t="n"/>
      <c r="C8" s="149" t="n"/>
      <c r="D8" s="149" t="n"/>
      <c r="E8" s="149" t="n"/>
      <c r="F8" s="149" t="n"/>
      <c r="G8" s="149" t="n"/>
      <c r="H8" s="149" t="n"/>
      <c r="I8" s="149" t="n"/>
      <c r="J8" s="149" t="n"/>
      <c r="K8" s="149" t="n"/>
      <c r="L8" s="149" t="n"/>
      <c r="M8" s="149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36" t="inlineStr">
        <is>
          <t>合计</t>
        </is>
      </c>
      <c r="B9" s="137" t="n"/>
      <c r="C9" s="150">
        <f>SUM(C6:C8)</f>
        <v/>
      </c>
      <c r="D9" s="150">
        <f>SUM(D6:D8)</f>
        <v/>
      </c>
      <c r="E9" s="150">
        <f>SUM(E6:E8)</f>
        <v/>
      </c>
      <c r="F9" s="150">
        <f>SUM(F6:F8)</f>
        <v/>
      </c>
      <c r="G9" s="150">
        <f>SUM(G6:G8)</f>
        <v/>
      </c>
      <c r="H9" s="150">
        <f>SUM(H6:H8)</f>
        <v/>
      </c>
      <c r="I9" s="150">
        <f>SUM(I6:I8)</f>
        <v/>
      </c>
      <c r="J9" s="150">
        <f>SUM(J6:J8)</f>
        <v/>
      </c>
      <c r="K9" s="150">
        <f>SUM(K6:K8)</f>
        <v/>
      </c>
      <c r="L9" s="150">
        <f>SUM(L6:L8)</f>
        <v/>
      </c>
      <c r="M9" s="150">
        <f>SUM(M6:M8)</f>
        <v/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31" t="inlineStr">
        <is>
          <t>【HD】核对</t>
        </is>
      </c>
      <c r="B11" s="152" t="n"/>
      <c r="C11" s="152">
        <f>C9-历利调整后表!D40</f>
        <v/>
      </c>
      <c r="D11" s="152">
        <f>D9-历利调整后表!G40</f>
        <v/>
      </c>
      <c r="E11" s="152">
        <f>E9-历利调整后表!J40</f>
        <v/>
      </c>
      <c r="F11" s="152">
        <f>F9-历利调整后表!M40</f>
        <v/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31" t="inlineStr">
        <is>
          <t>增长率（%）</t>
        </is>
      </c>
      <c r="B12" s="32" t="n"/>
      <c r="C12" s="32" t="n"/>
      <c r="D12" s="33">
        <f>ROUND((D9-C9)/C9,4)</f>
        <v/>
      </c>
      <c r="E12" s="33">
        <f>ROUND((E9-D9)/D9,4)</f>
        <v/>
      </c>
      <c r="F12" s="33">
        <f>ROUND((F9/6*12-E9)/E9,4)</f>
        <v/>
      </c>
      <c r="G12" s="33">
        <f>ROUND((G9+F9-E9)/E9,4)</f>
        <v/>
      </c>
      <c r="H12" s="33">
        <f>ROUND((H9-(G9+F9))/(G9+F9),4)</f>
        <v/>
      </c>
      <c r="I12" s="33">
        <f>ROUND((I9-H9)/H9,4)</f>
        <v/>
      </c>
      <c r="J12" s="33">
        <f>ROUND((J9-I9)/I9,4)</f>
        <v/>
      </c>
      <c r="K12" s="33">
        <f>ROUND((K9-J9)/J9,4)</f>
        <v/>
      </c>
      <c r="L12" s="33">
        <f>ROUND((L9-K9)/K9,4)</f>
        <v/>
      </c>
      <c r="M12" s="33">
        <f>ROUND((M9-L9)/L9,4)</f>
        <v/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5">
    <mergeCell ref="A1:M1"/>
    <mergeCell ref="C4:F4"/>
    <mergeCell ref="A4:A5"/>
    <mergeCell ref="G4:M4"/>
    <mergeCell ref="A2:M2"/>
  </mergeCells>
  <conditionalFormatting sqref="B11:F11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M21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.109375" defaultRowHeight="14.4"/>
  <cols>
    <col width="35" customWidth="1" style="1" min="1" max="1"/>
    <col hidden="1" width="15" customWidth="1" style="1" min="2" max="2"/>
    <col width="15" customWidth="1" style="1" min="3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营业外收入分析预测表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121" t="inlineStr">
        <is>
          <t>项目</t>
        </is>
      </c>
      <c r="B4" s="121" t="n"/>
      <c r="C4" s="121" t="inlineStr">
        <is>
          <t>历史数据</t>
        </is>
      </c>
      <c r="D4" s="154" t="n"/>
      <c r="E4" s="154" t="n"/>
      <c r="F4" s="155" t="n"/>
      <c r="G4" s="124" t="inlineStr">
        <is>
          <t>未来预测</t>
        </is>
      </c>
      <c r="H4" s="154" t="n"/>
      <c r="I4" s="154" t="n"/>
      <c r="J4" s="154" t="n"/>
      <c r="K4" s="154" t="n"/>
      <c r="L4" s="154" t="n"/>
      <c r="M4" s="15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47" t="n"/>
      <c r="B5" s="121" t="n"/>
      <c r="C5" s="121" t="inlineStr">
        <is>
          <t>2022年度</t>
        </is>
      </c>
      <c r="D5" s="121" t="inlineStr">
        <is>
          <t>2023年度</t>
        </is>
      </c>
      <c r="E5" s="121" t="inlineStr">
        <is>
          <t>2024年度</t>
        </is>
      </c>
      <c r="F5" s="121" t="inlineStr">
        <is>
          <t>2025年1-6月</t>
        </is>
      </c>
      <c r="G5" s="124" t="inlineStr">
        <is>
          <t>2025年7-12月</t>
        </is>
      </c>
      <c r="H5" s="124" t="inlineStr">
        <is>
          <t>2026年度</t>
        </is>
      </c>
      <c r="I5" s="124" t="inlineStr">
        <is>
          <t>2027年度</t>
        </is>
      </c>
      <c r="J5" s="124" t="inlineStr">
        <is>
          <t>2028年度</t>
        </is>
      </c>
      <c r="K5" s="124" t="inlineStr">
        <is>
          <t>2029年度</t>
        </is>
      </c>
      <c r="L5" s="124" t="inlineStr">
        <is>
          <t>2030年度</t>
        </is>
      </c>
      <c r="M5" s="124" t="inlineStr">
        <is>
          <t>永续年度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35" t="n"/>
      <c r="B6" s="135" t="n"/>
      <c r="C6" s="149" t="n"/>
      <c r="D6" s="149" t="n"/>
      <c r="E6" s="149" t="n"/>
      <c r="F6" s="149" t="n"/>
      <c r="G6" s="149" t="n"/>
      <c r="H6" s="149" t="n"/>
      <c r="I6" s="149" t="n"/>
      <c r="J6" s="149" t="n"/>
      <c r="K6" s="149" t="n"/>
      <c r="L6" s="149" t="n"/>
      <c r="M6" s="149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35" t="n"/>
      <c r="B7" s="135" t="n"/>
      <c r="C7" s="149" t="n"/>
      <c r="D7" s="149" t="n"/>
      <c r="E7" s="149" t="n"/>
      <c r="F7" s="149" t="n"/>
      <c r="G7" s="149" t="n"/>
      <c r="H7" s="149" t="n"/>
      <c r="I7" s="149" t="n"/>
      <c r="J7" s="149" t="n"/>
      <c r="K7" s="149" t="n"/>
      <c r="L7" s="149" t="n"/>
      <c r="M7" s="149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35" t="n"/>
      <c r="B8" s="135" t="n"/>
      <c r="C8" s="149" t="n"/>
      <c r="D8" s="149" t="n"/>
      <c r="E8" s="149" t="n"/>
      <c r="F8" s="149" t="n"/>
      <c r="G8" s="149" t="n"/>
      <c r="H8" s="149" t="n"/>
      <c r="I8" s="149" t="n"/>
      <c r="J8" s="149" t="n"/>
      <c r="K8" s="149" t="n"/>
      <c r="L8" s="149" t="n"/>
      <c r="M8" s="149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36" t="inlineStr">
        <is>
          <t>合计</t>
        </is>
      </c>
      <c r="B9" s="137" t="n"/>
      <c r="C9" s="150">
        <f>SUM(C6:C8)</f>
        <v/>
      </c>
      <c r="D9" s="150">
        <f>SUM(D6:D8)</f>
        <v/>
      </c>
      <c r="E9" s="150">
        <f>SUM(E6:E8)</f>
        <v/>
      </c>
      <c r="F9" s="150">
        <f>SUM(F6:F8)</f>
        <v/>
      </c>
      <c r="G9" s="150">
        <f>SUM(G6:G8)</f>
        <v/>
      </c>
      <c r="H9" s="150">
        <f>SUM(H6:H8)</f>
        <v/>
      </c>
      <c r="I9" s="150">
        <f>SUM(I6:I8)</f>
        <v/>
      </c>
      <c r="J9" s="150">
        <f>SUM(J6:J8)</f>
        <v/>
      </c>
      <c r="K9" s="150">
        <f>SUM(K6:K8)</f>
        <v/>
      </c>
      <c r="L9" s="150">
        <f>SUM(L6:L8)</f>
        <v/>
      </c>
      <c r="M9" s="150">
        <f>SUM(M6:M8)</f>
        <v/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31" t="inlineStr">
        <is>
          <t>【HD】核对</t>
        </is>
      </c>
      <c r="B11" s="152" t="n"/>
      <c r="C11" s="152">
        <f>C9-历利调整后表!D42</f>
        <v/>
      </c>
      <c r="D11" s="152">
        <f>D9-历利调整后表!G42</f>
        <v/>
      </c>
      <c r="E11" s="152">
        <f>E9-历利调整后表!J42</f>
        <v/>
      </c>
      <c r="F11" s="152">
        <f>F9-历利调整后表!M42</f>
        <v/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31" t="inlineStr">
        <is>
          <t>增长率（%）</t>
        </is>
      </c>
      <c r="B12" s="32" t="n"/>
      <c r="C12" s="32" t="n"/>
      <c r="D12" s="33">
        <f>ROUND((D9-C9)/C9,4)</f>
        <v/>
      </c>
      <c r="E12" s="33">
        <f>ROUND((E9-D9)/D9,4)</f>
        <v/>
      </c>
      <c r="F12" s="33">
        <f>ROUND((F9/6*12-E9)/E9,4)</f>
        <v/>
      </c>
      <c r="G12" s="33">
        <f>ROUND((G9+F9-E9)/E9,4)</f>
        <v/>
      </c>
      <c r="H12" s="33">
        <f>ROUND((H9-(G9+F9))/(G9+F9),4)</f>
        <v/>
      </c>
      <c r="I12" s="33">
        <f>ROUND((I9-H9)/H9,4)</f>
        <v/>
      </c>
      <c r="J12" s="33">
        <f>ROUND((J9-I9)/I9,4)</f>
        <v/>
      </c>
      <c r="K12" s="33">
        <f>ROUND((K9-J9)/J9,4)</f>
        <v/>
      </c>
      <c r="L12" s="33">
        <f>ROUND((L9-K9)/K9,4)</f>
        <v/>
      </c>
      <c r="M12" s="33">
        <f>ROUND((M9-L9)/L9,4)</f>
        <v/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5">
    <mergeCell ref="A1:M1"/>
    <mergeCell ref="C4:F4"/>
    <mergeCell ref="A4:A5"/>
    <mergeCell ref="G4:M4"/>
    <mergeCell ref="A2:M2"/>
  </mergeCells>
  <conditionalFormatting sqref="B11:F11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M21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.109375" defaultRowHeight="14.4"/>
  <cols>
    <col width="35" customWidth="1" style="1" min="1" max="1"/>
    <col hidden="1" width="15" customWidth="1" style="1" min="2" max="2"/>
    <col width="15" customWidth="1" style="1" min="3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营业外支出分析预测表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121" t="inlineStr">
        <is>
          <t>项目</t>
        </is>
      </c>
      <c r="B4" s="121" t="n"/>
      <c r="C4" s="121" t="inlineStr">
        <is>
          <t>历史数据</t>
        </is>
      </c>
      <c r="D4" s="154" t="n"/>
      <c r="E4" s="154" t="n"/>
      <c r="F4" s="155" t="n"/>
      <c r="G4" s="124" t="inlineStr">
        <is>
          <t>未来预测</t>
        </is>
      </c>
      <c r="H4" s="154" t="n"/>
      <c r="I4" s="154" t="n"/>
      <c r="J4" s="154" t="n"/>
      <c r="K4" s="154" t="n"/>
      <c r="L4" s="154" t="n"/>
      <c r="M4" s="15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47" t="n"/>
      <c r="B5" s="121" t="n"/>
      <c r="C5" s="121" t="inlineStr">
        <is>
          <t>2022年度</t>
        </is>
      </c>
      <c r="D5" s="121" t="inlineStr">
        <is>
          <t>2023年度</t>
        </is>
      </c>
      <c r="E5" s="121" t="inlineStr">
        <is>
          <t>2024年度</t>
        </is>
      </c>
      <c r="F5" s="121" t="inlineStr">
        <is>
          <t>2025年1-6月</t>
        </is>
      </c>
      <c r="G5" s="124" t="inlineStr">
        <is>
          <t>2025年7-12月</t>
        </is>
      </c>
      <c r="H5" s="124" t="inlineStr">
        <is>
          <t>2026年度</t>
        </is>
      </c>
      <c r="I5" s="124" t="inlineStr">
        <is>
          <t>2027年度</t>
        </is>
      </c>
      <c r="J5" s="124" t="inlineStr">
        <is>
          <t>2028年度</t>
        </is>
      </c>
      <c r="K5" s="124" t="inlineStr">
        <is>
          <t>2029年度</t>
        </is>
      </c>
      <c r="L5" s="124" t="inlineStr">
        <is>
          <t>2030年度</t>
        </is>
      </c>
      <c r="M5" s="124" t="inlineStr">
        <is>
          <t>永续年度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35" t="n"/>
      <c r="B6" s="135" t="n"/>
      <c r="C6" s="149" t="n"/>
      <c r="D6" s="149" t="n"/>
      <c r="E6" s="149" t="n"/>
      <c r="F6" s="149" t="n"/>
      <c r="G6" s="149" t="n"/>
      <c r="H6" s="149" t="n"/>
      <c r="I6" s="149" t="n"/>
      <c r="J6" s="149" t="n"/>
      <c r="K6" s="149" t="n"/>
      <c r="L6" s="149" t="n"/>
      <c r="M6" s="149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35" t="n"/>
      <c r="B7" s="135" t="n"/>
      <c r="C7" s="149" t="n"/>
      <c r="D7" s="149" t="n"/>
      <c r="E7" s="149" t="n"/>
      <c r="F7" s="149" t="n"/>
      <c r="G7" s="149" t="n"/>
      <c r="H7" s="149" t="n"/>
      <c r="I7" s="149" t="n"/>
      <c r="J7" s="149" t="n"/>
      <c r="K7" s="149" t="n"/>
      <c r="L7" s="149" t="n"/>
      <c r="M7" s="149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35" t="n"/>
      <c r="B8" s="135" t="n"/>
      <c r="C8" s="149" t="n"/>
      <c r="D8" s="149" t="n"/>
      <c r="E8" s="149" t="n"/>
      <c r="F8" s="149" t="n"/>
      <c r="G8" s="149" t="n"/>
      <c r="H8" s="149" t="n"/>
      <c r="I8" s="149" t="n"/>
      <c r="J8" s="149" t="n"/>
      <c r="K8" s="149" t="n"/>
      <c r="L8" s="149" t="n"/>
      <c r="M8" s="149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36" t="inlineStr">
        <is>
          <t>合计</t>
        </is>
      </c>
      <c r="B9" s="137" t="n"/>
      <c r="C9" s="150">
        <f>SUM(C6:C8)</f>
        <v/>
      </c>
      <c r="D9" s="150">
        <f>SUM(D6:D8)</f>
        <v/>
      </c>
      <c r="E9" s="150">
        <f>SUM(E6:E8)</f>
        <v/>
      </c>
      <c r="F9" s="150">
        <f>SUM(F6:F8)</f>
        <v/>
      </c>
      <c r="G9" s="150">
        <f>SUM(G6:G8)</f>
        <v/>
      </c>
      <c r="H9" s="150">
        <f>SUM(H6:H8)</f>
        <v/>
      </c>
      <c r="I9" s="150">
        <f>SUM(I6:I8)</f>
        <v/>
      </c>
      <c r="J9" s="150">
        <f>SUM(J6:J8)</f>
        <v/>
      </c>
      <c r="K9" s="150">
        <f>SUM(K6:K8)</f>
        <v/>
      </c>
      <c r="L9" s="150">
        <f>SUM(L6:L8)</f>
        <v/>
      </c>
      <c r="M9" s="150">
        <f>SUM(M6:M8)</f>
        <v/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31" t="inlineStr">
        <is>
          <t>【HD】核对</t>
        </is>
      </c>
      <c r="B11" s="152" t="n"/>
      <c r="C11" s="152">
        <f>C9-历利调整后表!D43</f>
        <v/>
      </c>
      <c r="D11" s="152">
        <f>D9-历利调整后表!G43</f>
        <v/>
      </c>
      <c r="E11" s="152">
        <f>E9-历利调整后表!J43</f>
        <v/>
      </c>
      <c r="F11" s="152">
        <f>F9-历利调整后表!M43</f>
        <v/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31" t="inlineStr">
        <is>
          <t>增长率（%）</t>
        </is>
      </c>
      <c r="B12" s="32" t="n"/>
      <c r="C12" s="32" t="n"/>
      <c r="D12" s="33">
        <f>ROUND((D9-C9)/C9,4)</f>
        <v/>
      </c>
      <c r="E12" s="33">
        <f>ROUND((E9-D9)/D9,4)</f>
        <v/>
      </c>
      <c r="F12" s="33">
        <f>ROUND((F9/6*12-E9)/E9,4)</f>
        <v/>
      </c>
      <c r="G12" s="33">
        <f>ROUND((G9+F9-E9)/E9,4)</f>
        <v/>
      </c>
      <c r="H12" s="33">
        <f>ROUND((H9-(G9+F9))/(G9+F9),4)</f>
        <v/>
      </c>
      <c r="I12" s="33">
        <f>ROUND((I9-H9)/H9,4)</f>
        <v/>
      </c>
      <c r="J12" s="33">
        <f>ROUND((J9-I9)/I9,4)</f>
        <v/>
      </c>
      <c r="K12" s="33">
        <f>ROUND((K9-J9)/J9,4)</f>
        <v/>
      </c>
      <c r="L12" s="33">
        <f>ROUND((L9-K9)/K9,4)</f>
        <v/>
      </c>
      <c r="M12" s="33">
        <f>ROUND((M9-L9)/L9,4)</f>
        <v/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5">
    <mergeCell ref="A1:M1"/>
    <mergeCell ref="C4:F4"/>
    <mergeCell ref="A4:A5"/>
    <mergeCell ref="G4:M4"/>
    <mergeCell ref="A2:M2"/>
  </mergeCells>
  <conditionalFormatting sqref="B11:F11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M214"/>
  <sheetViews>
    <sheetView workbookViewId="0">
      <pane xSplit="1" ySplit="6" topLeftCell="C34" activePane="bottomRight" state="frozen"/>
      <selection pane="topRight" activeCell="A1" sqref="A1"/>
      <selection pane="bottomLeft" activeCell="A1" sqref="A1"/>
      <selection pane="bottomRight" activeCell="G43" sqref="G43"/>
    </sheetView>
  </sheetViews>
  <sheetFormatPr baseColWidth="8" defaultColWidth="9.109375" defaultRowHeight="14.4"/>
  <cols>
    <col width="35" customWidth="1" style="1" min="1" max="1"/>
    <col hidden="1" width="15" customWidth="1" style="1" min="2" max="2"/>
    <col width="15" customWidth="1" style="1" min="3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所得税费用预测明细表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5" t="inlineStr">
        <is>
          <t>一、业务招待费纳税调整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21" t="inlineStr">
        <is>
          <t>项目</t>
        </is>
      </c>
      <c r="B5" s="121" t="n"/>
      <c r="C5" s="121" t="inlineStr">
        <is>
          <t>历史数据</t>
        </is>
      </c>
      <c r="D5" s="154" t="n"/>
      <c r="E5" s="154" t="n"/>
      <c r="F5" s="155" t="n"/>
      <c r="G5" s="124" t="inlineStr">
        <is>
          <t>未来预测</t>
        </is>
      </c>
      <c r="H5" s="154" t="n"/>
      <c r="I5" s="154" t="n"/>
      <c r="J5" s="154" t="n"/>
      <c r="K5" s="154" t="n"/>
      <c r="L5" s="154" t="n"/>
      <c r="M5" s="15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47" t="n"/>
      <c r="B6" s="147" t="n"/>
      <c r="C6" s="121" t="inlineStr">
        <is>
          <t>2022年度</t>
        </is>
      </c>
      <c r="D6" s="121" t="inlineStr">
        <is>
          <t>2023年度</t>
        </is>
      </c>
      <c r="E6" s="121" t="inlineStr">
        <is>
          <t>2024年度</t>
        </is>
      </c>
      <c r="F6" s="121" t="inlineStr">
        <is>
          <t>2025年1-6月</t>
        </is>
      </c>
      <c r="G6" s="124" t="inlineStr">
        <is>
          <t>2025年7-12月</t>
        </is>
      </c>
      <c r="H6" s="124" t="inlineStr">
        <is>
          <t>2026年度</t>
        </is>
      </c>
      <c r="I6" s="124" t="inlineStr">
        <is>
          <t>2027年度</t>
        </is>
      </c>
      <c r="J6" s="124" t="inlineStr">
        <is>
          <t>2028年度</t>
        </is>
      </c>
      <c r="K6" s="124" t="inlineStr">
        <is>
          <t>2029年度</t>
        </is>
      </c>
      <c r="L6" s="124" t="inlineStr">
        <is>
          <t>2030年度</t>
        </is>
      </c>
      <c r="M6" s="124" t="inlineStr">
        <is>
          <t>永续年度</t>
        </is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22" t="inlineStr">
        <is>
          <t>销售费用-业务招待费</t>
        </is>
      </c>
      <c r="B7" s="135" t="n"/>
      <c r="C7" s="156">
        <f>销售费用表!C9</f>
        <v/>
      </c>
      <c r="D7" s="156">
        <f>销售费用表!D9</f>
        <v/>
      </c>
      <c r="E7" s="156">
        <f>销售费用表!E9</f>
        <v/>
      </c>
      <c r="F7" s="156">
        <f>销售费用表!F9</f>
        <v/>
      </c>
      <c r="G7" s="156">
        <f>销售费用表!G9</f>
        <v/>
      </c>
      <c r="H7" s="156">
        <f>销售费用表!H9</f>
        <v/>
      </c>
      <c r="I7" s="156">
        <f>销售费用表!I9</f>
        <v/>
      </c>
      <c r="J7" s="156">
        <f>销售费用表!J9</f>
        <v/>
      </c>
      <c r="K7" s="156">
        <f>销售费用表!K9</f>
        <v/>
      </c>
      <c r="L7" s="156">
        <f>销售费用表!L9</f>
        <v/>
      </c>
      <c r="M7" s="156">
        <f>销售费用表!M9</f>
        <v/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22" t="inlineStr">
        <is>
          <t>管理费用-业务招待费</t>
        </is>
      </c>
      <c r="B8" s="135" t="n"/>
      <c r="C8" s="156">
        <f>管理费用表!C9</f>
        <v/>
      </c>
      <c r="D8" s="156">
        <f>管理费用表!D9</f>
        <v/>
      </c>
      <c r="E8" s="156">
        <f>管理费用表!E9</f>
        <v/>
      </c>
      <c r="F8" s="156">
        <f>管理费用表!F9</f>
        <v/>
      </c>
      <c r="G8" s="156">
        <f>管理费用表!G9</f>
        <v/>
      </c>
      <c r="H8" s="156">
        <f>管理费用表!H9</f>
        <v/>
      </c>
      <c r="I8" s="156">
        <f>管理费用表!I9</f>
        <v/>
      </c>
      <c r="J8" s="156">
        <f>管理费用表!J9</f>
        <v/>
      </c>
      <c r="K8" s="156">
        <f>管理费用表!K9</f>
        <v/>
      </c>
      <c r="L8" s="156">
        <f>管理费用表!L9</f>
        <v/>
      </c>
      <c r="M8" s="156">
        <f>管理费用表!M9</f>
        <v/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22" t="inlineStr">
        <is>
          <t>研发费用-业务招待费</t>
        </is>
      </c>
      <c r="B9" s="135" t="n"/>
      <c r="C9" s="156">
        <f>研发费用表!C10</f>
        <v/>
      </c>
      <c r="D9" s="156">
        <f>研发费用表!D10</f>
        <v/>
      </c>
      <c r="E9" s="156">
        <f>研发费用表!E10</f>
        <v/>
      </c>
      <c r="F9" s="156">
        <f>研发费用表!F10</f>
        <v/>
      </c>
      <c r="G9" s="156">
        <f>研发费用表!G10</f>
        <v/>
      </c>
      <c r="H9" s="156">
        <f>研发费用表!H10</f>
        <v/>
      </c>
      <c r="I9" s="156">
        <f>研发费用表!I10</f>
        <v/>
      </c>
      <c r="J9" s="156">
        <f>研发费用表!J10</f>
        <v/>
      </c>
      <c r="K9" s="156">
        <f>研发费用表!K10</f>
        <v/>
      </c>
      <c r="L9" s="156">
        <f>研发费用表!L10</f>
        <v/>
      </c>
      <c r="M9" s="156">
        <f>研发费用表!M10</f>
        <v/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122" t="inlineStr">
        <is>
          <t>制造费用-业务招待费</t>
        </is>
      </c>
      <c r="B10" s="135" t="n"/>
      <c r="C10" s="156">
        <f>制造费用表!C10</f>
        <v/>
      </c>
      <c r="D10" s="156">
        <f>制造费用表!D10</f>
        <v/>
      </c>
      <c r="E10" s="156">
        <f>制造费用表!E10</f>
        <v/>
      </c>
      <c r="F10" s="156">
        <f>制造费用表!F10</f>
        <v/>
      </c>
      <c r="G10" s="156">
        <f>制造费用表!G10</f>
        <v/>
      </c>
      <c r="H10" s="156">
        <f>制造费用表!H10</f>
        <v/>
      </c>
      <c r="I10" s="156">
        <f>制造费用表!I10</f>
        <v/>
      </c>
      <c r="J10" s="156">
        <f>制造费用表!J10</f>
        <v/>
      </c>
      <c r="K10" s="156">
        <f>制造费用表!K10</f>
        <v/>
      </c>
      <c r="L10" s="156">
        <f>制造费用表!L10</f>
        <v/>
      </c>
      <c r="M10" s="156">
        <f>制造费用表!M10</f>
        <v/>
      </c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135" t="n"/>
      <c r="B11" s="135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122" t="inlineStr">
        <is>
          <t>业务招待费</t>
        </is>
      </c>
      <c r="B12" s="135" t="n"/>
      <c r="C12" s="149" t="n"/>
      <c r="D12" s="149" t="n"/>
      <c r="E12" s="149" t="n"/>
      <c r="F12" s="149" t="n"/>
      <c r="G12" s="151">
        <f>SUM(G7:G11)</f>
        <v/>
      </c>
      <c r="H12" s="151">
        <f>SUM(H7:H11)</f>
        <v/>
      </c>
      <c r="I12" s="151">
        <f>SUM(I7:I11)</f>
        <v/>
      </c>
      <c r="J12" s="151">
        <f>SUM(J7:J11)</f>
        <v/>
      </c>
      <c r="K12" s="151">
        <f>SUM(K7:K11)</f>
        <v/>
      </c>
      <c r="L12" s="151">
        <f>SUM(L7:L11)</f>
        <v/>
      </c>
      <c r="M12" s="151">
        <f>SUM(M7:M11)</f>
        <v/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122" t="inlineStr">
        <is>
          <t>业务招待费的60%</t>
        </is>
      </c>
      <c r="B13" s="135" t="n"/>
      <c r="C13" s="149" t="n"/>
      <c r="D13" s="149" t="n"/>
      <c r="E13" s="149" t="n"/>
      <c r="F13" s="149" t="n"/>
      <c r="G13" s="151">
        <f>ROUND(G12*0.6,2)</f>
        <v/>
      </c>
      <c r="H13" s="151">
        <f>ROUND(H12*0.6,2)</f>
        <v/>
      </c>
      <c r="I13" s="151">
        <f>ROUND(I12*0.6,2)</f>
        <v/>
      </c>
      <c r="J13" s="151">
        <f>ROUND(J12*0.6,2)</f>
        <v/>
      </c>
      <c r="K13" s="151">
        <f>ROUND(K12*0.6,2)</f>
        <v/>
      </c>
      <c r="L13" s="151">
        <f>ROUND(L12*0.6,2)</f>
        <v/>
      </c>
      <c r="M13" s="151">
        <f>ROUND(M12*0.6,2)</f>
        <v/>
      </c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122" t="inlineStr">
        <is>
          <t>收入的0.5%</t>
        </is>
      </c>
      <c r="B14" s="135" t="n"/>
      <c r="C14" s="149" t="n"/>
      <c r="D14" s="149" t="n"/>
      <c r="E14" s="149" t="n"/>
      <c r="F14" s="149" t="n"/>
      <c r="G14" s="151">
        <f>ROUND(营业收入表!G17*0.005,2)</f>
        <v/>
      </c>
      <c r="H14" s="151">
        <f>ROUND(营业收入表!H17*0.005,2)</f>
        <v/>
      </c>
      <c r="I14" s="151">
        <f>ROUND(营业收入表!I17*0.005,2)</f>
        <v/>
      </c>
      <c r="J14" s="151">
        <f>ROUND(营业收入表!J17*0.005,2)</f>
        <v/>
      </c>
      <c r="K14" s="151">
        <f>ROUND(营业收入表!K17*0.005,2)</f>
        <v/>
      </c>
      <c r="L14" s="151">
        <f>ROUND(营业收入表!L17*0.005,2)</f>
        <v/>
      </c>
      <c r="M14" s="151">
        <f>ROUND(营业收入表!M17*0.005,2)</f>
        <v/>
      </c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122" t="inlineStr">
        <is>
          <t>调增部分</t>
        </is>
      </c>
      <c r="B15" s="135" t="n"/>
      <c r="C15" s="149" t="n"/>
      <c r="D15" s="149" t="n"/>
      <c r="E15" s="149" t="n"/>
      <c r="F15" s="149" t="n"/>
      <c r="G15" s="151">
        <f>IF(G13-G14&gt;0,G13-G14,0)</f>
        <v/>
      </c>
      <c r="H15" s="151">
        <f>IF(H13-H14&gt;0,H13-H14,0)</f>
        <v/>
      </c>
      <c r="I15" s="151">
        <f>IF(I13-I14&gt;0,I13-I14,0)</f>
        <v/>
      </c>
      <c r="J15" s="151">
        <f>IF(J13-J14&gt;0,J13-J14,0)</f>
        <v/>
      </c>
      <c r="K15" s="151">
        <f>IF(K13-K14&gt;0,K13-K14,0)</f>
        <v/>
      </c>
      <c r="L15" s="151">
        <f>IF(L13-L14&gt;0,L13-L14,0)</f>
        <v/>
      </c>
      <c r="M15" s="151">
        <f>IF(M13-M14&gt;0,M13-M14,0)</f>
        <v/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122" t="inlineStr">
        <is>
          <t>纳税调增</t>
        </is>
      </c>
      <c r="B16" s="135" t="n"/>
      <c r="C16" s="149" t="n"/>
      <c r="D16" s="149" t="n"/>
      <c r="E16" s="149" t="n"/>
      <c r="F16" s="149" t="n"/>
      <c r="G16" s="151">
        <f>G12*0.4+G15</f>
        <v/>
      </c>
      <c r="H16" s="151">
        <f>H12*0.4+H15</f>
        <v/>
      </c>
      <c r="I16" s="151">
        <f>I12*0.4+I15</f>
        <v/>
      </c>
      <c r="J16" s="151">
        <f>J12*0.4+J15</f>
        <v/>
      </c>
      <c r="K16" s="151">
        <f>K12*0.4+K15</f>
        <v/>
      </c>
      <c r="L16" s="151">
        <f>L12*0.4+L15</f>
        <v/>
      </c>
      <c r="M16" s="151">
        <f>M12*0.4+M15</f>
        <v/>
      </c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5" t="inlineStr">
        <is>
          <t>二、研发费用纳税调整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121" t="inlineStr">
        <is>
          <t>项目</t>
        </is>
      </c>
      <c r="B19" s="121" t="n"/>
      <c r="C19" s="121" t="inlineStr">
        <is>
          <t>历史数据</t>
        </is>
      </c>
      <c r="D19" s="154" t="n"/>
      <c r="E19" s="154" t="n"/>
      <c r="F19" s="155" t="n"/>
      <c r="G19" s="124" t="inlineStr">
        <is>
          <t>未来预测</t>
        </is>
      </c>
      <c r="H19" s="154" t="n"/>
      <c r="I19" s="154" t="n"/>
      <c r="J19" s="154" t="n"/>
      <c r="K19" s="154" t="n"/>
      <c r="L19" s="154" t="n"/>
      <c r="M19" s="15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147" t="n"/>
      <c r="B20" s="147" t="n"/>
      <c r="C20" s="121" t="inlineStr">
        <is>
          <t>2022年度</t>
        </is>
      </c>
      <c r="D20" s="121" t="inlineStr">
        <is>
          <t>2023年度</t>
        </is>
      </c>
      <c r="E20" s="121" t="inlineStr">
        <is>
          <t>2024年度</t>
        </is>
      </c>
      <c r="F20" s="121" t="inlineStr">
        <is>
          <t>2025年1-6月</t>
        </is>
      </c>
      <c r="G20" s="124" t="inlineStr">
        <is>
          <t>2025年7-12月</t>
        </is>
      </c>
      <c r="H20" s="124" t="inlineStr">
        <is>
          <t>2026年度</t>
        </is>
      </c>
      <c r="I20" s="124" t="inlineStr">
        <is>
          <t>2027年度</t>
        </is>
      </c>
      <c r="J20" s="124" t="inlineStr">
        <is>
          <t>2028年度</t>
        </is>
      </c>
      <c r="K20" s="124" t="inlineStr">
        <is>
          <t>2029年度</t>
        </is>
      </c>
      <c r="L20" s="124" t="inlineStr">
        <is>
          <t>2030年度</t>
        </is>
      </c>
      <c r="M20" s="124" t="inlineStr">
        <is>
          <t>永续年度</t>
        </is>
      </c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122" t="inlineStr">
        <is>
          <t>研发费用实际发生数</t>
        </is>
      </c>
      <c r="B21" s="135" t="n"/>
      <c r="C21" s="156">
        <f>研发费用表!C63</f>
        <v/>
      </c>
      <c r="D21" s="156">
        <f>研发费用表!D63</f>
        <v/>
      </c>
      <c r="E21" s="156">
        <f>研发费用表!E63</f>
        <v/>
      </c>
      <c r="F21" s="156">
        <f>研发费用表!F63</f>
        <v/>
      </c>
      <c r="G21" s="156">
        <f>研发费用表!G63</f>
        <v/>
      </c>
      <c r="H21" s="156">
        <f>研发费用表!H63</f>
        <v/>
      </c>
      <c r="I21" s="156">
        <f>研发费用表!I63</f>
        <v/>
      </c>
      <c r="J21" s="156">
        <f>研发费用表!J63</f>
        <v/>
      </c>
      <c r="K21" s="156">
        <f>研发费用表!K63</f>
        <v/>
      </c>
      <c r="L21" s="156">
        <f>研发费用表!L63</f>
        <v/>
      </c>
      <c r="M21" s="156">
        <f>研发费用表!M63</f>
        <v/>
      </c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122" t="inlineStr">
        <is>
          <t>允许扣除比例（%）</t>
        </is>
      </c>
      <c r="B22" s="135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122" t="inlineStr">
        <is>
          <t>允许扣除的研发费用</t>
        </is>
      </c>
      <c r="B23" s="135" t="n"/>
      <c r="C23" s="151">
        <f>ROUND(C21*C22,2)</f>
        <v/>
      </c>
      <c r="D23" s="151">
        <f>ROUND(D21*D22,2)</f>
        <v/>
      </c>
      <c r="E23" s="151">
        <f>ROUND(E21*E22,2)</f>
        <v/>
      </c>
      <c r="F23" s="151">
        <f>ROUND(F21*F22,2)</f>
        <v/>
      </c>
      <c r="G23" s="151">
        <f>ROUND(G21*G22,2)</f>
        <v/>
      </c>
      <c r="H23" s="151">
        <f>ROUND(H21*H22,2)</f>
        <v/>
      </c>
      <c r="I23" s="151">
        <f>ROUND(I21*I22,2)</f>
        <v/>
      </c>
      <c r="J23" s="151">
        <f>ROUND(J21*J22,2)</f>
        <v/>
      </c>
      <c r="K23" s="151">
        <f>ROUND(K21*K22,2)</f>
        <v/>
      </c>
      <c r="L23" s="151">
        <f>ROUND(L21*L22,2)</f>
        <v/>
      </c>
      <c r="M23" s="151">
        <f>ROUND(M21*M22,2)</f>
        <v/>
      </c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122" t="inlineStr">
        <is>
          <t>加计扣除比例（%）</t>
        </is>
      </c>
      <c r="B24" s="135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122" t="inlineStr">
        <is>
          <t>加计扣除金额</t>
        </is>
      </c>
      <c r="B25" s="135" t="n"/>
      <c r="C25" s="151">
        <f>ROUND(C23*C24,2)</f>
        <v/>
      </c>
      <c r="D25" s="151">
        <f>ROUND(D23*D24,2)</f>
        <v/>
      </c>
      <c r="E25" s="151">
        <f>ROUND(E23*E24,2)</f>
        <v/>
      </c>
      <c r="F25" s="151">
        <f>ROUND(F23*F24,2)</f>
        <v/>
      </c>
      <c r="G25" s="151">
        <f>ROUND(G23*G24,2)</f>
        <v/>
      </c>
      <c r="H25" s="151">
        <f>ROUND(H23*H24,2)</f>
        <v/>
      </c>
      <c r="I25" s="151">
        <f>ROUND(I23*I24,2)</f>
        <v/>
      </c>
      <c r="J25" s="151">
        <f>ROUND(J23*J24,2)</f>
        <v/>
      </c>
      <c r="K25" s="151">
        <f>ROUND(K23*K24,2)</f>
        <v/>
      </c>
      <c r="L25" s="151">
        <f>ROUND(L23*L24,2)</f>
        <v/>
      </c>
      <c r="M25" s="151">
        <f>ROUND(M23*M24,2)</f>
        <v/>
      </c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5" t="inlineStr">
        <is>
          <t>三、所得税计算表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121" t="inlineStr">
        <is>
          <t>项目</t>
        </is>
      </c>
      <c r="B28" s="121" t="n"/>
      <c r="C28" s="121" t="inlineStr">
        <is>
          <t>历史数据</t>
        </is>
      </c>
      <c r="D28" s="154" t="n"/>
      <c r="E28" s="154" t="n"/>
      <c r="F28" s="155" t="n"/>
      <c r="G28" s="124" t="inlineStr">
        <is>
          <t>未来预测</t>
        </is>
      </c>
      <c r="H28" s="154" t="n"/>
      <c r="I28" s="154" t="n"/>
      <c r="J28" s="154" t="n"/>
      <c r="K28" s="154" t="n"/>
      <c r="L28" s="154" t="n"/>
      <c r="M28" s="15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147" t="n"/>
      <c r="B29" s="147" t="n"/>
      <c r="C29" s="121" t="inlineStr">
        <is>
          <t>2022年度</t>
        </is>
      </c>
      <c r="D29" s="121" t="inlineStr">
        <is>
          <t>2023年度</t>
        </is>
      </c>
      <c r="E29" s="121" t="inlineStr">
        <is>
          <t>2024年度</t>
        </is>
      </c>
      <c r="F29" s="121" t="inlineStr">
        <is>
          <t>2025年1-6月</t>
        </is>
      </c>
      <c r="G29" s="124" t="inlineStr">
        <is>
          <t>2025年7-12月</t>
        </is>
      </c>
      <c r="H29" s="124" t="inlineStr">
        <is>
          <t>2026年度</t>
        </is>
      </c>
      <c r="I29" s="124" t="inlineStr">
        <is>
          <t>2027年度</t>
        </is>
      </c>
      <c r="J29" s="124" t="inlineStr">
        <is>
          <t>2028年度</t>
        </is>
      </c>
      <c r="K29" s="124" t="inlineStr">
        <is>
          <t>2029年度</t>
        </is>
      </c>
      <c r="L29" s="124" t="inlineStr">
        <is>
          <t>2030年度</t>
        </is>
      </c>
      <c r="M29" s="124" t="inlineStr">
        <is>
          <t>永续年度</t>
        </is>
      </c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122" t="inlineStr">
        <is>
          <t>利润总额</t>
        </is>
      </c>
      <c r="B30" s="135" t="n"/>
      <c r="C30" s="156">
        <f>净现金流计算表!C26</f>
        <v/>
      </c>
      <c r="D30" s="156">
        <f>净现金流计算表!D26</f>
        <v/>
      </c>
      <c r="E30" s="156">
        <f>净现金流计算表!E26</f>
        <v/>
      </c>
      <c r="F30" s="156">
        <f>净现金流计算表!F26</f>
        <v/>
      </c>
      <c r="G30" s="156">
        <f>净现金流计算表!G26</f>
        <v/>
      </c>
      <c r="H30" s="156">
        <f>净现金流计算表!H26</f>
        <v/>
      </c>
      <c r="I30" s="156">
        <f>净现金流计算表!I26</f>
        <v/>
      </c>
      <c r="J30" s="156">
        <f>净现金流计算表!J26</f>
        <v/>
      </c>
      <c r="K30" s="156">
        <f>净现金流计算表!K26</f>
        <v/>
      </c>
      <c r="L30" s="156">
        <f>净现金流计算表!L26</f>
        <v/>
      </c>
      <c r="M30" s="156">
        <f>净现金流计算表!M26</f>
        <v/>
      </c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122" t="inlineStr">
        <is>
          <t>加：业务招待费调增</t>
        </is>
      </c>
      <c r="B31" s="135" t="n"/>
      <c r="C31" s="149" t="n"/>
      <c r="D31" s="149" t="n"/>
      <c r="E31" s="149" t="n"/>
      <c r="F31" s="149" t="n"/>
      <c r="G31" s="156">
        <f>G16</f>
        <v/>
      </c>
      <c r="H31" s="156">
        <f>H16</f>
        <v/>
      </c>
      <c r="I31" s="156">
        <f>I16</f>
        <v/>
      </c>
      <c r="J31" s="156">
        <f>J16</f>
        <v/>
      </c>
      <c r="K31" s="156">
        <f>K16</f>
        <v/>
      </c>
      <c r="L31" s="156">
        <f>L16</f>
        <v/>
      </c>
      <c r="M31" s="156">
        <f>M16</f>
        <v/>
      </c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122" t="inlineStr">
        <is>
          <t xml:space="preserve">    罚款、滞纳金</t>
        </is>
      </c>
      <c r="B32" s="135" t="n"/>
      <c r="C32" s="149" t="n"/>
      <c r="D32" s="149" t="n"/>
      <c r="E32" s="149" t="n"/>
      <c r="F32" s="149" t="n"/>
      <c r="G32" s="149" t="n"/>
      <c r="H32" s="149" t="n"/>
      <c r="I32" s="149" t="n"/>
      <c r="J32" s="149" t="n"/>
      <c r="K32" s="149" t="n"/>
      <c r="L32" s="149" t="n"/>
      <c r="M32" s="149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122" t="inlineStr">
        <is>
          <t xml:space="preserve">    资产减值损失</t>
        </is>
      </c>
      <c r="B33" s="135" t="n"/>
      <c r="C33" s="149" t="n"/>
      <c r="D33" s="149" t="n"/>
      <c r="E33" s="149" t="n"/>
      <c r="F33" s="149" t="n"/>
      <c r="G33" s="149" t="n"/>
      <c r="H33" s="149" t="n"/>
      <c r="I33" s="149" t="n"/>
      <c r="J33" s="149" t="n"/>
      <c r="K33" s="149" t="n"/>
      <c r="L33" s="149" t="n"/>
      <c r="M33" s="149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135" t="n"/>
      <c r="B34" s="135" t="n"/>
      <c r="C34" s="149" t="n"/>
      <c r="D34" s="149" t="n"/>
      <c r="E34" s="149" t="n"/>
      <c r="F34" s="149" t="n"/>
      <c r="G34" s="149" t="n"/>
      <c r="H34" s="149" t="n"/>
      <c r="I34" s="149" t="n"/>
      <c r="J34" s="149" t="n"/>
      <c r="K34" s="149" t="n"/>
      <c r="L34" s="149" t="n"/>
      <c r="M34" s="149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122" t="inlineStr">
        <is>
          <t>纳税调增小计</t>
        </is>
      </c>
      <c r="B35" s="135" t="n"/>
      <c r="C35" s="149" t="n"/>
      <c r="D35" s="149" t="n"/>
      <c r="E35" s="149" t="n"/>
      <c r="F35" s="149" t="n"/>
      <c r="G35" s="151">
        <f>SUM(G31:G34)</f>
        <v/>
      </c>
      <c r="H35" s="151">
        <f>SUM(H31:H34)</f>
        <v/>
      </c>
      <c r="I35" s="151">
        <f>SUM(I31:I34)</f>
        <v/>
      </c>
      <c r="J35" s="151">
        <f>SUM(J31:J34)</f>
        <v/>
      </c>
      <c r="K35" s="151">
        <f>SUM(K31:K34)</f>
        <v/>
      </c>
      <c r="L35" s="151">
        <f>SUM(L31:L34)</f>
        <v/>
      </c>
      <c r="M35" s="151">
        <f>SUM(M31:M34)</f>
        <v/>
      </c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122" t="inlineStr">
        <is>
          <t>减：免税收入</t>
        </is>
      </c>
      <c r="B36" s="135" t="n"/>
      <c r="C36" s="149" t="n"/>
      <c r="D36" s="149" t="n"/>
      <c r="E36" s="149" t="n"/>
      <c r="F36" s="149" t="n"/>
      <c r="G36" s="149" t="n"/>
      <c r="H36" s="149" t="n"/>
      <c r="I36" s="149" t="n"/>
      <c r="J36" s="149" t="n"/>
      <c r="K36" s="149" t="n"/>
      <c r="L36" s="149" t="n"/>
      <c r="M36" s="149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122" t="inlineStr">
        <is>
          <t xml:space="preserve">    研发费用加计扣除</t>
        </is>
      </c>
      <c r="B37" s="135" t="n"/>
      <c r="C37" s="149" t="n"/>
      <c r="D37" s="149" t="n"/>
      <c r="E37" s="149" t="n"/>
      <c r="F37" s="149" t="n"/>
      <c r="G37" s="156">
        <f>G25</f>
        <v/>
      </c>
      <c r="H37" s="156">
        <f>H25</f>
        <v/>
      </c>
      <c r="I37" s="156">
        <f>I25</f>
        <v/>
      </c>
      <c r="J37" s="156">
        <f>J25</f>
        <v/>
      </c>
      <c r="K37" s="156">
        <f>K25</f>
        <v/>
      </c>
      <c r="L37" s="156">
        <f>L25</f>
        <v/>
      </c>
      <c r="M37" s="156">
        <f>M25</f>
        <v/>
      </c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135" t="n"/>
      <c r="B38" s="135" t="n"/>
      <c r="C38" s="149" t="n"/>
      <c r="D38" s="149" t="n"/>
      <c r="E38" s="149" t="n"/>
      <c r="F38" s="149" t="n"/>
      <c r="G38" s="149" t="n"/>
      <c r="H38" s="149" t="n"/>
      <c r="I38" s="149" t="n"/>
      <c r="J38" s="149" t="n"/>
      <c r="K38" s="149" t="n"/>
      <c r="L38" s="149" t="n"/>
      <c r="M38" s="149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122" t="inlineStr">
        <is>
          <t>纳税调减小计</t>
        </is>
      </c>
      <c r="B39" s="135" t="n"/>
      <c r="C39" s="149" t="n"/>
      <c r="D39" s="149" t="n"/>
      <c r="E39" s="149" t="n"/>
      <c r="F39" s="149" t="n"/>
      <c r="G39" s="151">
        <f>SUM(G36:G38)</f>
        <v/>
      </c>
      <c r="H39" s="151">
        <f>SUM(H36:H38)</f>
        <v/>
      </c>
      <c r="I39" s="151">
        <f>SUM(I36:I38)</f>
        <v/>
      </c>
      <c r="J39" s="151">
        <f>SUM(J36:J38)</f>
        <v/>
      </c>
      <c r="K39" s="151">
        <f>SUM(K36:K38)</f>
        <v/>
      </c>
      <c r="L39" s="151">
        <f>SUM(L36:L38)</f>
        <v/>
      </c>
      <c r="M39" s="151">
        <f>SUM(M36:M38)</f>
        <v/>
      </c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122" t="inlineStr">
        <is>
          <t>应纳税所得额</t>
        </is>
      </c>
      <c r="B40" s="135" t="n"/>
      <c r="C40" s="149" t="n"/>
      <c r="D40" s="149" t="n"/>
      <c r="E40" s="149" t="n"/>
      <c r="F40" s="149" t="n"/>
      <c r="G40" s="151">
        <f>G30+G35-G39</f>
        <v/>
      </c>
      <c r="H40" s="151">
        <f>H30+H35-H39</f>
        <v/>
      </c>
      <c r="I40" s="151">
        <f>I30+I35-I39</f>
        <v/>
      </c>
      <c r="J40" s="151">
        <f>J30+J35-J39</f>
        <v/>
      </c>
      <c r="K40" s="151">
        <f>K30+K35-K39</f>
        <v/>
      </c>
      <c r="L40" s="151">
        <f>L30+L35-L39</f>
        <v/>
      </c>
      <c r="M40" s="151">
        <f>M30+M35-M39</f>
        <v/>
      </c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122" t="inlineStr">
        <is>
          <t>补亏后应纳税所得额</t>
        </is>
      </c>
      <c r="B41" s="135" t="n"/>
      <c r="C41" s="149" t="n"/>
      <c r="D41" s="149" t="n"/>
      <c r="E41" s="149" t="n"/>
      <c r="F41" s="149" t="n"/>
      <c r="G41" s="149" t="n"/>
      <c r="H41" s="149" t="n"/>
      <c r="I41" s="149" t="n"/>
      <c r="J41" s="149" t="n"/>
      <c r="K41" s="149" t="n"/>
      <c r="L41" s="149" t="n"/>
      <c r="M41" s="149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122" t="inlineStr">
        <is>
          <t>税率（%）</t>
        </is>
      </c>
      <c r="B42" s="135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122" t="inlineStr">
        <is>
          <t>所得税</t>
        </is>
      </c>
      <c r="B43" s="135" t="n"/>
      <c r="C43" s="156">
        <f>历利调整后表!D45</f>
        <v/>
      </c>
      <c r="D43" s="156">
        <f>历利调整后表!G45</f>
        <v/>
      </c>
      <c r="E43" s="156">
        <f>历利调整后表!J45</f>
        <v/>
      </c>
      <c r="F43" s="156">
        <f>历利调整后表!M45</f>
        <v/>
      </c>
      <c r="G43" s="151">
        <f>ROUND(G41*G42,2)</f>
        <v/>
      </c>
      <c r="H43" s="151">
        <f>ROUND(H41*H42,2)</f>
        <v/>
      </c>
      <c r="I43" s="151">
        <f>ROUND(I41*I42,2)</f>
        <v/>
      </c>
      <c r="J43" s="151">
        <f>ROUND(J41*J42,2)</f>
        <v/>
      </c>
      <c r="K43" s="151">
        <f>ROUND(K41*K42,2)</f>
        <v/>
      </c>
      <c r="L43" s="151">
        <f>ROUND(L41*L42,2)</f>
        <v/>
      </c>
      <c r="M43" s="151">
        <f>ROUND(M41*M42,2)</f>
        <v/>
      </c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31" t="inlineStr">
        <is>
          <t>【HD】核对</t>
        </is>
      </c>
      <c r="B45" s="152" t="n"/>
      <c r="C45" s="152">
        <f>C43-历利调整后表!D45</f>
        <v/>
      </c>
      <c r="D45" s="152">
        <f>D43-历利调整后表!G45</f>
        <v/>
      </c>
      <c r="E45" s="152">
        <f>E43-历利调整后表!J45</f>
        <v/>
      </c>
      <c r="F45" s="152">
        <f>F43-历利调整后表!M45</f>
        <v/>
      </c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5" t="n"/>
      <c r="B47" s="5" t="n"/>
      <c r="C47" s="5" t="n"/>
      <c r="D47" s="5" t="n"/>
      <c r="E47" s="41" t="inlineStr">
        <is>
          <t>重要提示：如“应纳税所得额”有所变化，需清空补亏瀑布表的数据，点击按钮重新进行计算。</t>
        </is>
      </c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5" t="n"/>
      <c r="B48" s="5" t="n"/>
      <c r="C48" s="5" t="n"/>
      <c r="D48" s="5" t="n"/>
      <c r="E48" s="5" t="n"/>
      <c r="F48" s="5" t="inlineStr">
        <is>
          <t>2024弥补后</t>
        </is>
      </c>
      <c r="G48" s="5" t="inlineStr">
        <is>
          <t>2025弥补后</t>
        </is>
      </c>
      <c r="H48" s="5" t="inlineStr">
        <is>
          <t>2026弥补后</t>
        </is>
      </c>
      <c r="I48" s="5" t="inlineStr">
        <is>
          <t>2027弥补后</t>
        </is>
      </c>
      <c r="J48" s="5" t="inlineStr">
        <is>
          <t>2028弥补后</t>
        </is>
      </c>
      <c r="K48" s="5" t="inlineStr">
        <is>
          <t>2029弥补后</t>
        </is>
      </c>
      <c r="L48" s="5" t="inlineStr">
        <is>
          <t>2030弥补后</t>
        </is>
      </c>
      <c r="M48" s="5" t="inlineStr">
        <is>
          <t>永续年度弥补后</t>
        </is>
      </c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5" t="n"/>
      <c r="B49" s="5" t="n"/>
      <c r="C49" s="5" t="n"/>
      <c r="D49" s="5" t="n"/>
      <c r="E49" s="5" t="inlineStr">
        <is>
          <t>2020年</t>
        </is>
      </c>
      <c r="F49" s="42" t="n"/>
      <c r="G49" s="43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>
      <c r="A50" s="5" t="n"/>
      <c r="B50" s="5" t="n"/>
      <c r="C50" s="5" t="n"/>
      <c r="D50" s="5" t="n"/>
      <c r="E50" s="5" t="inlineStr">
        <is>
          <t>2021年</t>
        </is>
      </c>
      <c r="F50" s="44" t="n"/>
      <c r="G50" s="42" t="n"/>
      <c r="H50" s="43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>
      <c r="A51" s="5" t="n"/>
      <c r="B51" s="5" t="n"/>
      <c r="C51" s="5" t="n"/>
      <c r="D51" s="5" t="n"/>
      <c r="E51" s="5" t="inlineStr">
        <is>
          <t>2022年</t>
        </is>
      </c>
      <c r="F51" s="44" t="n"/>
      <c r="G51" s="44" t="n"/>
      <c r="H51" s="42" t="n"/>
      <c r="I51" s="43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>
      <c r="A52" s="5" t="n"/>
      <c r="B52" s="5" t="n"/>
      <c r="C52" s="5" t="n"/>
      <c r="D52" s="5" t="n"/>
      <c r="E52" s="5" t="inlineStr">
        <is>
          <t>2023年</t>
        </is>
      </c>
      <c r="F52" s="44" t="n"/>
      <c r="G52" s="44" t="n"/>
      <c r="H52" s="44" t="n"/>
      <c r="I52" s="42" t="n"/>
      <c r="J52" s="43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>
      <c r="A53" s="5" t="n"/>
      <c r="B53" s="5" t="n"/>
      <c r="C53" s="5" t="n"/>
      <c r="D53" s="5" t="n"/>
      <c r="E53" s="5" t="inlineStr">
        <is>
          <t>2024年</t>
        </is>
      </c>
      <c r="F53" s="44" t="n"/>
      <c r="G53" s="44" t="n"/>
      <c r="H53" s="44" t="n"/>
      <c r="I53" s="44" t="n"/>
      <c r="J53" s="42" t="n"/>
      <c r="K53" s="43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>
      <c r="A54" s="5" t="n"/>
      <c r="B54" s="5" t="n"/>
      <c r="C54" s="5" t="n"/>
      <c r="D54" s="5" t="n"/>
      <c r="E54" s="5" t="inlineStr">
        <is>
          <t>2025年</t>
        </is>
      </c>
      <c r="F54" s="5" t="n"/>
      <c r="G54" s="44" t="n"/>
      <c r="H54" s="44" t="n"/>
      <c r="I54" s="44" t="n"/>
      <c r="J54" s="44" t="n"/>
      <c r="K54" s="42" t="n"/>
      <c r="L54" s="43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>
      <c r="A55" s="5" t="n"/>
      <c r="B55" s="5" t="n"/>
      <c r="C55" s="5" t="n"/>
      <c r="D55" s="5" t="n"/>
      <c r="E55" s="5" t="inlineStr">
        <is>
          <t>2026年</t>
        </is>
      </c>
      <c r="F55" s="5" t="n"/>
      <c r="G55" s="5" t="n"/>
      <c r="H55" s="44" t="n"/>
      <c r="I55" s="44" t="n"/>
      <c r="J55" s="44" t="n"/>
      <c r="K55" s="44" t="n"/>
      <c r="L55" s="42" t="n"/>
      <c r="M55" s="43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>
      <c r="A56" s="5" t="n"/>
      <c r="B56" s="5" t="n"/>
      <c r="C56" s="5" t="n"/>
      <c r="D56" s="5" t="n"/>
      <c r="E56" s="5" t="inlineStr">
        <is>
          <t>2027年</t>
        </is>
      </c>
      <c r="F56" s="5" t="n"/>
      <c r="G56" s="5" t="n"/>
      <c r="H56" s="5" t="n"/>
      <c r="I56" s="44" t="n"/>
      <c r="J56" s="44" t="n"/>
      <c r="K56" s="44" t="n"/>
      <c r="L56" s="44" t="n"/>
      <c r="M56" s="42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>
      <c r="A57" s="5" t="n"/>
      <c r="B57" s="5" t="n"/>
      <c r="C57" s="5" t="n"/>
      <c r="D57" s="5" t="n"/>
      <c r="E57" s="5" t="inlineStr">
        <is>
          <t>2028年</t>
        </is>
      </c>
      <c r="F57" s="5" t="n"/>
      <c r="G57" s="5" t="n"/>
      <c r="H57" s="5" t="n"/>
      <c r="I57" s="5" t="n"/>
      <c r="J57" s="44" t="n"/>
      <c r="K57" s="44" t="n"/>
      <c r="L57" s="44" t="n"/>
      <c r="M57" s="42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5" t="n"/>
      <c r="B58" s="5" t="n"/>
      <c r="C58" s="5" t="n"/>
      <c r="D58" s="5" t="n"/>
      <c r="E58" s="5" t="inlineStr">
        <is>
          <t>2029年</t>
        </is>
      </c>
      <c r="F58" s="5" t="n"/>
      <c r="G58" s="5" t="n"/>
      <c r="H58" s="5" t="n"/>
      <c r="I58" s="5" t="n"/>
      <c r="J58" s="5" t="n"/>
      <c r="K58" s="44" t="n"/>
      <c r="L58" s="44" t="n"/>
      <c r="M58" s="42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5" t="n"/>
      <c r="B59" s="5" t="n"/>
      <c r="C59" s="5" t="n"/>
      <c r="D59" s="5" t="n"/>
      <c r="E59" s="5" t="inlineStr">
        <is>
          <t>2030年</t>
        </is>
      </c>
      <c r="F59" s="5" t="n"/>
      <c r="G59" s="5" t="n"/>
      <c r="H59" s="5" t="n"/>
      <c r="I59" s="5" t="n"/>
      <c r="J59" s="5" t="n"/>
      <c r="K59" s="5" t="n"/>
      <c r="L59" s="44" t="n"/>
      <c r="M59" s="42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5" t="n"/>
      <c r="B60" s="5" t="n"/>
      <c r="C60" s="5" t="n"/>
      <c r="D60" s="5" t="n"/>
      <c r="E60" s="5" t="inlineStr">
        <is>
          <t>永续年度</t>
        </is>
      </c>
      <c r="F60" s="5" t="n"/>
      <c r="G60" s="5" t="n"/>
      <c r="H60" s="5" t="n"/>
      <c r="I60" s="5" t="n"/>
      <c r="J60" s="5" t="n"/>
      <c r="K60" s="5" t="n"/>
      <c r="L60" s="5" t="n"/>
      <c r="M60" s="42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</row>
  </sheetData>
  <mergeCells count="14">
    <mergeCell ref="A5:A6"/>
    <mergeCell ref="C5:F5"/>
    <mergeCell ref="G28:M28"/>
    <mergeCell ref="A1:M1"/>
    <mergeCell ref="G5:M5"/>
    <mergeCell ref="A28:A29"/>
    <mergeCell ref="B5:B6"/>
    <mergeCell ref="B19:B20"/>
    <mergeCell ref="B28:B29"/>
    <mergeCell ref="C19:F19"/>
    <mergeCell ref="A2:M2"/>
    <mergeCell ref="A19:A20"/>
    <mergeCell ref="C28:F28"/>
    <mergeCell ref="G19:M19"/>
  </mergeCells>
  <conditionalFormatting sqref="B45:F45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M231"/>
  <sheetViews>
    <sheetView workbookViewId="0">
      <pane xSplit="2" ySplit="6" topLeftCell="F19" activePane="bottomRight" state="frozen"/>
      <selection pane="topRight" activeCell="A1" sqref="A1"/>
      <selection pane="bottomLeft" activeCell="A1" sqref="A1"/>
      <selection pane="bottomRight" activeCell="G28" sqref="G28"/>
    </sheetView>
  </sheetViews>
  <sheetFormatPr baseColWidth="8" defaultColWidth="9.109375" defaultRowHeight="14.4"/>
  <cols>
    <col width="35" customWidth="1" style="1" min="1" max="1"/>
    <col width="15" customWidth="1" style="1" min="2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折旧摊销资本性支出计算汇总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5" t="inlineStr">
        <is>
          <t>一、折旧摊销预测分类汇总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21" t="inlineStr">
        <is>
          <t>类别</t>
        </is>
      </c>
      <c r="B5" s="121" t="inlineStr">
        <is>
          <t>项目</t>
        </is>
      </c>
      <c r="C5" s="121" t="inlineStr">
        <is>
          <t>历史数据</t>
        </is>
      </c>
      <c r="D5" s="154" t="n"/>
      <c r="E5" s="154" t="n"/>
      <c r="F5" s="155" t="n"/>
      <c r="G5" s="124" t="inlineStr">
        <is>
          <t>未来预测</t>
        </is>
      </c>
      <c r="H5" s="154" t="n"/>
      <c r="I5" s="154" t="n"/>
      <c r="J5" s="154" t="n"/>
      <c r="K5" s="154" t="n"/>
      <c r="L5" s="154" t="n"/>
      <c r="M5" s="15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47" t="n"/>
      <c r="B6" s="147" t="n"/>
      <c r="C6" s="121" t="inlineStr">
        <is>
          <t>2022年度</t>
        </is>
      </c>
      <c r="D6" s="121" t="inlineStr">
        <is>
          <t>2023年度</t>
        </is>
      </c>
      <c r="E6" s="121" t="inlineStr">
        <is>
          <t>2024年度</t>
        </is>
      </c>
      <c r="F6" s="121" t="inlineStr">
        <is>
          <t>2025年1-6月</t>
        </is>
      </c>
      <c r="G6" s="124" t="inlineStr">
        <is>
          <t>2025年7-12月</t>
        </is>
      </c>
      <c r="H6" s="124" t="inlineStr">
        <is>
          <t>2026年度</t>
        </is>
      </c>
      <c r="I6" s="124" t="inlineStr">
        <is>
          <t>2027年度</t>
        </is>
      </c>
      <c r="J6" s="124" t="inlineStr">
        <is>
          <t>2028年度</t>
        </is>
      </c>
      <c r="K6" s="124" t="inlineStr">
        <is>
          <t>2029年度</t>
        </is>
      </c>
      <c r="L6" s="124" t="inlineStr">
        <is>
          <t>2030年度</t>
        </is>
      </c>
      <c r="M6" s="124" t="inlineStr">
        <is>
          <t>永续年度</t>
        </is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22" t="inlineStr">
        <is>
          <t>生产成本</t>
        </is>
      </c>
      <c r="B7" s="122" t="inlineStr">
        <is>
          <t>折旧</t>
        </is>
      </c>
      <c r="C7" s="149" t="n"/>
      <c r="D7" s="149" t="n"/>
      <c r="E7" s="149" t="n"/>
      <c r="F7" s="149" t="n"/>
      <c r="G7" s="167" t="n"/>
      <c r="H7" s="167" t="n"/>
      <c r="I7" s="167" t="n"/>
      <c r="J7" s="167" t="n"/>
      <c r="K7" s="167" t="n"/>
      <c r="L7" s="167" t="n"/>
      <c r="M7" s="149">
        <f>L7</f>
        <v/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47" t="n"/>
      <c r="B8" s="122" t="inlineStr">
        <is>
          <t>摊销</t>
        </is>
      </c>
      <c r="C8" s="149" t="n"/>
      <c r="D8" s="149" t="n"/>
      <c r="E8" s="149" t="n"/>
      <c r="F8" s="149" t="n"/>
      <c r="G8" s="149" t="n"/>
      <c r="H8" s="149" t="n"/>
      <c r="I8" s="149" t="n"/>
      <c r="J8" s="149" t="n"/>
      <c r="K8" s="149" t="n"/>
      <c r="L8" s="149" t="n"/>
      <c r="M8" s="149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22" t="inlineStr">
        <is>
          <t>制造费用</t>
        </is>
      </c>
      <c r="B9" s="122" t="inlineStr">
        <is>
          <t>折旧</t>
        </is>
      </c>
      <c r="C9" s="156">
        <f>制造费用表!C8</f>
        <v/>
      </c>
      <c r="D9" s="156">
        <f>制造费用表!D8</f>
        <v/>
      </c>
      <c r="E9" s="156">
        <f>制造费用表!E8</f>
        <v/>
      </c>
      <c r="F9" s="156">
        <f>制造费用表!F8</f>
        <v/>
      </c>
      <c r="G9" s="149" t="n"/>
      <c r="H9" s="149" t="n"/>
      <c r="I9" s="149" t="n"/>
      <c r="J9" s="149" t="n"/>
      <c r="K9" s="149" t="n"/>
      <c r="L9" s="149" t="n"/>
      <c r="M9" s="149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147" t="n"/>
      <c r="B10" s="122" t="inlineStr">
        <is>
          <t>摊销</t>
        </is>
      </c>
      <c r="C10" s="156">
        <f>制造费用表!C9</f>
        <v/>
      </c>
      <c r="D10" s="156">
        <f>制造费用表!D9</f>
        <v/>
      </c>
      <c r="E10" s="156">
        <f>制造费用表!E9</f>
        <v/>
      </c>
      <c r="F10" s="156">
        <f>制造费用表!F9</f>
        <v/>
      </c>
      <c r="G10" s="149" t="n"/>
      <c r="H10" s="149" t="n"/>
      <c r="I10" s="149" t="n"/>
      <c r="J10" s="149" t="n"/>
      <c r="K10" s="149" t="n"/>
      <c r="L10" s="149" t="n"/>
      <c r="M10" s="149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122" t="inlineStr">
        <is>
          <t>销售费用</t>
        </is>
      </c>
      <c r="B11" s="122" t="inlineStr">
        <is>
          <t>折旧</t>
        </is>
      </c>
      <c r="C11" s="156">
        <f>销售费用表!C7</f>
        <v/>
      </c>
      <c r="D11" s="156">
        <f>销售费用表!D7</f>
        <v/>
      </c>
      <c r="E11" s="156">
        <f>销售费用表!E7</f>
        <v/>
      </c>
      <c r="F11" s="156">
        <f>销售费用表!F7</f>
        <v/>
      </c>
      <c r="G11" s="149" t="n"/>
      <c r="H11" s="149" t="n"/>
      <c r="I11" s="149" t="n"/>
      <c r="J11" s="149" t="n"/>
      <c r="K11" s="149" t="n"/>
      <c r="L11" s="149" t="n"/>
      <c r="M11" s="149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147" t="n"/>
      <c r="B12" s="122" t="inlineStr">
        <is>
          <t>摊销</t>
        </is>
      </c>
      <c r="C12" s="156">
        <f>销售费用表!C8</f>
        <v/>
      </c>
      <c r="D12" s="156">
        <f>销售费用表!D8</f>
        <v/>
      </c>
      <c r="E12" s="156">
        <f>销售费用表!E8</f>
        <v/>
      </c>
      <c r="F12" s="156">
        <f>销售费用表!F8</f>
        <v/>
      </c>
      <c r="G12" s="149" t="n"/>
      <c r="H12" s="149" t="n"/>
      <c r="I12" s="149" t="n"/>
      <c r="J12" s="149" t="n"/>
      <c r="K12" s="149" t="n"/>
      <c r="L12" s="149" t="n"/>
      <c r="M12" s="149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122" t="inlineStr">
        <is>
          <t>管理费用</t>
        </is>
      </c>
      <c r="B13" s="122" t="inlineStr">
        <is>
          <t>折旧</t>
        </is>
      </c>
      <c r="C13" s="156">
        <f>管理费用表!C7</f>
        <v/>
      </c>
      <c r="D13" s="156">
        <f>管理费用表!D7</f>
        <v/>
      </c>
      <c r="E13" s="156">
        <f>管理费用表!E7</f>
        <v/>
      </c>
      <c r="F13" s="156">
        <f>管理费用表!F7</f>
        <v/>
      </c>
      <c r="G13" s="149" t="n"/>
      <c r="H13" s="149" t="n"/>
      <c r="I13" s="149" t="n"/>
      <c r="J13" s="149" t="n"/>
      <c r="K13" s="149" t="n"/>
      <c r="L13" s="149" t="n"/>
      <c r="M13" s="149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147" t="n"/>
      <c r="B14" s="122" t="inlineStr">
        <is>
          <t>摊销</t>
        </is>
      </c>
      <c r="C14" s="156">
        <f>管理费用表!C8</f>
        <v/>
      </c>
      <c r="D14" s="156">
        <f>管理费用表!D8</f>
        <v/>
      </c>
      <c r="E14" s="156">
        <f>管理费用表!E8</f>
        <v/>
      </c>
      <c r="F14" s="156">
        <f>管理费用表!F8</f>
        <v/>
      </c>
      <c r="G14" s="149" t="n"/>
      <c r="H14" s="149" t="n"/>
      <c r="I14" s="149" t="n"/>
      <c r="J14" s="149" t="n"/>
      <c r="K14" s="149" t="n"/>
      <c r="L14" s="149" t="n"/>
      <c r="M14" s="149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122" t="inlineStr">
        <is>
          <t>研发费用</t>
        </is>
      </c>
      <c r="B15" s="122" t="inlineStr">
        <is>
          <t>折旧</t>
        </is>
      </c>
      <c r="C15" s="156">
        <f>研发费用表!C8</f>
        <v/>
      </c>
      <c r="D15" s="156">
        <f>研发费用表!D8</f>
        <v/>
      </c>
      <c r="E15" s="156">
        <f>研发费用表!E8</f>
        <v/>
      </c>
      <c r="F15" s="156">
        <f>研发费用表!F8</f>
        <v/>
      </c>
      <c r="G15" s="149" t="n"/>
      <c r="H15" s="149" t="n"/>
      <c r="I15" s="149" t="n"/>
      <c r="J15" s="149" t="n"/>
      <c r="K15" s="149" t="n"/>
      <c r="L15" s="149" t="n"/>
      <c r="M15" s="149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147" t="n"/>
      <c r="B16" s="122" t="inlineStr">
        <is>
          <t>摊销</t>
        </is>
      </c>
      <c r="C16" s="156">
        <f>研发费用表!C9</f>
        <v/>
      </c>
      <c r="D16" s="156">
        <f>研发费用表!D9</f>
        <v/>
      </c>
      <c r="E16" s="156">
        <f>研发费用表!E9</f>
        <v/>
      </c>
      <c r="F16" s="156">
        <f>研发费用表!F9</f>
        <v/>
      </c>
      <c r="G16" s="149" t="n"/>
      <c r="H16" s="149" t="n"/>
      <c r="I16" s="149" t="n"/>
      <c r="J16" s="149" t="n"/>
      <c r="K16" s="149" t="n"/>
      <c r="L16" s="149" t="n"/>
      <c r="M16" s="149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136" t="inlineStr">
        <is>
          <t>合计</t>
        </is>
      </c>
      <c r="B17" s="136" t="inlineStr">
        <is>
          <t>折旧</t>
        </is>
      </c>
      <c r="C17" s="150">
        <f>SUMIF($B7:$B16,$B7,C7:C16)</f>
        <v/>
      </c>
      <c r="D17" s="150">
        <f>SUMIF($B7:$B16,$B7,D7:D16)</f>
        <v/>
      </c>
      <c r="E17" s="150">
        <f>SUMIF($B7:$B16,$B7,E7:E16)</f>
        <v/>
      </c>
      <c r="F17" s="150">
        <f>SUMIF($B7:$B16,$B7,F7:F16)</f>
        <v/>
      </c>
      <c r="G17" s="150">
        <f>SUMIF($B7:$B16,$B7,G7:G16)</f>
        <v/>
      </c>
      <c r="H17" s="150">
        <f>SUMIF($B7:$B16,$B7,H7:H16)</f>
        <v/>
      </c>
      <c r="I17" s="150">
        <f>SUMIF($B7:$B16,$B7,I7:I16)</f>
        <v/>
      </c>
      <c r="J17" s="150">
        <f>SUMIF($B7:$B16,$B7,J7:J16)</f>
        <v/>
      </c>
      <c r="K17" s="150">
        <f>SUMIF($B7:$B16,$B7,K7:K16)</f>
        <v/>
      </c>
      <c r="L17" s="150">
        <f>SUMIF($B7:$B16,$B7,L7:L16)</f>
        <v/>
      </c>
      <c r="M17" s="150">
        <f>SUMIF($B7:$B16,$B7,M7:M16)</f>
        <v/>
      </c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160" t="n"/>
      <c r="B18" s="136" t="inlineStr">
        <is>
          <t>摊销</t>
        </is>
      </c>
      <c r="C18" s="150">
        <f>SUMIF($B7:$B16,$B8,C7:C16)</f>
        <v/>
      </c>
      <c r="D18" s="150">
        <f>SUMIF($B7:$B16,$B8,D7:D16)</f>
        <v/>
      </c>
      <c r="E18" s="150">
        <f>SUMIF($B7:$B16,$B8,E7:E16)</f>
        <v/>
      </c>
      <c r="F18" s="150">
        <f>SUMIF($B7:$B16,$B8,F7:F16)</f>
        <v/>
      </c>
      <c r="G18" s="150">
        <f>SUMIF($B7:$B16,$B8,G7:G16)</f>
        <v/>
      </c>
      <c r="H18" s="150">
        <f>SUMIF($B7:$B16,$B8,H7:H16)</f>
        <v/>
      </c>
      <c r="I18" s="150">
        <f>SUMIF($B7:$B16,$B8,I7:I16)</f>
        <v/>
      </c>
      <c r="J18" s="150">
        <f>SUMIF($B7:$B16,$B8,J7:J16)</f>
        <v/>
      </c>
      <c r="K18" s="150">
        <f>SUMIF($B7:$B16,$B8,K7:K16)</f>
        <v/>
      </c>
      <c r="L18" s="150">
        <f>SUMIF($B7:$B16,$B8,L7:L16)</f>
        <v/>
      </c>
      <c r="M18" s="150">
        <f>SUMIF($B7:$B16,$B8,M7:M16)</f>
        <v/>
      </c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147" t="n"/>
      <c r="B19" s="136" t="inlineStr">
        <is>
          <t>总计</t>
        </is>
      </c>
      <c r="C19" s="150">
        <f>SUM(C17:C18)</f>
        <v/>
      </c>
      <c r="D19" s="150">
        <f>SUM(D17:D18)</f>
        <v/>
      </c>
      <c r="E19" s="150">
        <f>SUM(E17:E18)</f>
        <v/>
      </c>
      <c r="F19" s="150">
        <f>SUM(F17:F18)</f>
        <v/>
      </c>
      <c r="G19" s="150">
        <f>SUM(G17:G18)</f>
        <v/>
      </c>
      <c r="H19" s="150">
        <f>SUM(H17:H18)</f>
        <v/>
      </c>
      <c r="I19" s="150">
        <f>SUM(I17:I18)</f>
        <v/>
      </c>
      <c r="J19" s="150">
        <f>SUM(J17:J18)</f>
        <v/>
      </c>
      <c r="K19" s="150">
        <f>SUM(K17:K18)</f>
        <v/>
      </c>
      <c r="L19" s="150">
        <f>SUM(L17:L18)</f>
        <v/>
      </c>
      <c r="M19" s="150">
        <f>SUM(M17:M18)</f>
        <v/>
      </c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31" t="inlineStr">
        <is>
          <t>折旧核对</t>
        </is>
      </c>
      <c r="B21" s="32" t="n"/>
      <c r="C21" s="152" t="n"/>
      <c r="D21" s="152" t="n"/>
      <c r="E21" s="152" t="n"/>
      <c r="F21" s="152" t="n"/>
      <c r="G21" s="152">
        <f>G17-折旧摊销附表!H30</f>
        <v/>
      </c>
      <c r="H21" s="152">
        <f>H17-折旧摊销附表!I30</f>
        <v/>
      </c>
      <c r="I21" s="152">
        <f>I17-折旧摊销附表!J30</f>
        <v/>
      </c>
      <c r="J21" s="152">
        <f>J17-折旧摊销附表!K30</f>
        <v/>
      </c>
      <c r="K21" s="152">
        <f>K17-折旧摊销附表!L30</f>
        <v/>
      </c>
      <c r="L21" s="152">
        <f>L17-折旧摊销附表!M30</f>
        <v/>
      </c>
      <c r="M21" s="152">
        <f>M17-折旧摊销附表!N30</f>
        <v/>
      </c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31" t="inlineStr">
        <is>
          <t>摊销核对</t>
        </is>
      </c>
      <c r="B22" s="32" t="n"/>
      <c r="C22" s="152" t="n"/>
      <c r="D22" s="152" t="n"/>
      <c r="E22" s="152" t="n"/>
      <c r="F22" s="152" t="n"/>
      <c r="G22" s="152">
        <f>G18-折旧摊销附表!H60</f>
        <v/>
      </c>
      <c r="H22" s="152">
        <f>H18-折旧摊销附表!I60</f>
        <v/>
      </c>
      <c r="I22" s="152">
        <f>I18-折旧摊销附表!J60</f>
        <v/>
      </c>
      <c r="J22" s="152">
        <f>J18-折旧摊销附表!K60</f>
        <v/>
      </c>
      <c r="K22" s="152">
        <f>K18-折旧摊销附表!L60</f>
        <v/>
      </c>
      <c r="L22" s="152">
        <f>L18-折旧摊销附表!M60</f>
        <v/>
      </c>
      <c r="M22" s="152">
        <f>M18-折旧摊销附表!N60</f>
        <v/>
      </c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5" t="inlineStr">
        <is>
          <t>二、资本性支出预测汇总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121" t="inlineStr">
        <is>
          <t>项目</t>
        </is>
      </c>
      <c r="B25" s="168" t="n"/>
      <c r="C25" s="121" t="inlineStr">
        <is>
          <t>历史数据</t>
        </is>
      </c>
      <c r="D25" s="154" t="n"/>
      <c r="E25" s="154" t="n"/>
      <c r="F25" s="155" t="n"/>
      <c r="G25" s="124" t="inlineStr">
        <is>
          <t>未来预测</t>
        </is>
      </c>
      <c r="H25" s="154" t="n"/>
      <c r="I25" s="154" t="n"/>
      <c r="J25" s="154" t="n"/>
      <c r="K25" s="154" t="n"/>
      <c r="L25" s="154" t="n"/>
      <c r="M25" s="15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169" t="n"/>
      <c r="B26" s="170" t="n"/>
      <c r="C26" s="121" t="inlineStr">
        <is>
          <t>2022年度</t>
        </is>
      </c>
      <c r="D26" s="121" t="inlineStr">
        <is>
          <t>2023年度</t>
        </is>
      </c>
      <c r="E26" s="121" t="inlineStr">
        <is>
          <t>2024年度</t>
        </is>
      </c>
      <c r="F26" s="121" t="inlineStr">
        <is>
          <t>2025年1-6月</t>
        </is>
      </c>
      <c r="G26" s="124" t="inlineStr">
        <is>
          <t>2025年7-12月</t>
        </is>
      </c>
      <c r="H26" s="124" t="inlineStr">
        <is>
          <t>2026年度</t>
        </is>
      </c>
      <c r="I26" s="124" t="inlineStr">
        <is>
          <t>2027年度</t>
        </is>
      </c>
      <c r="J26" s="124" t="inlineStr">
        <is>
          <t>2028年度</t>
        </is>
      </c>
      <c r="K26" s="124" t="inlineStr">
        <is>
          <t>2029年度</t>
        </is>
      </c>
      <c r="L26" s="124" t="inlineStr">
        <is>
          <t>2030年度</t>
        </is>
      </c>
      <c r="M26" s="124" t="inlineStr">
        <is>
          <t>永续年度</t>
        </is>
      </c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122" t="inlineStr">
        <is>
          <t>新增资本性支出</t>
        </is>
      </c>
      <c r="B27" s="155" t="n"/>
      <c r="C27" s="151">
        <f>SUM(资本性支出附表!C19,资本性支出附表!C24,资本性支出附表!C29)</f>
        <v/>
      </c>
      <c r="D27" s="151">
        <f>SUM(资本性支出附表!D19,资本性支出附表!D24,资本性支出附表!D29)</f>
        <v/>
      </c>
      <c r="E27" s="151">
        <f>SUM(资本性支出附表!E19,资本性支出附表!E24,资本性支出附表!E29)</f>
        <v/>
      </c>
      <c r="F27" s="151">
        <f>SUM(资本性支出附表!F19,资本性支出附表!F24,资本性支出附表!F29)</f>
        <v/>
      </c>
      <c r="G27" s="151">
        <f>SUM(资本性支出附表!G19,资本性支出附表!G24,资本性支出附表!G29)</f>
        <v/>
      </c>
      <c r="H27" s="151">
        <f>SUM(资本性支出附表!H19,资本性支出附表!H24,资本性支出附表!H29)</f>
        <v/>
      </c>
      <c r="I27" s="151">
        <f>SUM(资本性支出附表!I19,资本性支出附表!I24,资本性支出附表!I29)</f>
        <v/>
      </c>
      <c r="J27" s="151">
        <f>SUM(资本性支出附表!J19,资本性支出附表!J24,资本性支出附表!J29)</f>
        <v/>
      </c>
      <c r="K27" s="151">
        <f>SUM(资本性支出附表!K19,资本性支出附表!K24,资本性支出附表!K29)</f>
        <v/>
      </c>
      <c r="L27" s="151">
        <f>SUM(资本性支出附表!L19,资本性支出附表!L24,资本性支出附表!L29)</f>
        <v/>
      </c>
      <c r="M27" s="151">
        <f>SUM(资本性支出附表!M19,资本性支出附表!M24,资本性支出附表!M29)</f>
        <v/>
      </c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122" t="inlineStr">
        <is>
          <t>更新资本性支出</t>
        </is>
      </c>
      <c r="B28" s="155" t="n"/>
      <c r="C28" s="151">
        <f>资本性支出附表!C14</f>
        <v/>
      </c>
      <c r="D28" s="151">
        <f>资本性支出附表!D14</f>
        <v/>
      </c>
      <c r="E28" s="151">
        <f>资本性支出附表!E14</f>
        <v/>
      </c>
      <c r="F28" s="151">
        <f>资本性支出附表!F14</f>
        <v/>
      </c>
      <c r="G28" s="151">
        <f>资本性支出附表!G14</f>
        <v/>
      </c>
      <c r="H28" s="151">
        <f>资本性支出附表!H14</f>
        <v/>
      </c>
      <c r="I28" s="151">
        <f>资本性支出附表!I14</f>
        <v/>
      </c>
      <c r="J28" s="151">
        <f>资本性支出附表!J14</f>
        <v/>
      </c>
      <c r="K28" s="151">
        <f>资本性支出附表!K14</f>
        <v/>
      </c>
      <c r="L28" s="151">
        <f>资本性支出附表!L14</f>
        <v/>
      </c>
      <c r="M28" s="151">
        <f>资本性支出附表!M14</f>
        <v/>
      </c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136" t="inlineStr">
        <is>
          <t>合计</t>
        </is>
      </c>
      <c r="B29" s="155" t="n"/>
      <c r="C29" s="150">
        <f>SUM(C27:C28)</f>
        <v/>
      </c>
      <c r="D29" s="150">
        <f>SUM(D27:D28)</f>
        <v/>
      </c>
      <c r="E29" s="150">
        <f>SUM(E27:E28)</f>
        <v/>
      </c>
      <c r="F29" s="150">
        <f>SUM(F27:F28)</f>
        <v/>
      </c>
      <c r="G29" s="150">
        <f>SUM(G27:G28)</f>
        <v/>
      </c>
      <c r="H29" s="150">
        <f>SUM(H27:H28)</f>
        <v/>
      </c>
      <c r="I29" s="150">
        <f>SUM(I27:I28)</f>
        <v/>
      </c>
      <c r="J29" s="150">
        <f>SUM(J27:J28)</f>
        <v/>
      </c>
      <c r="K29" s="150">
        <f>SUM(K27:K28)</f>
        <v/>
      </c>
      <c r="L29" s="150">
        <f>SUM(L27:L28)</f>
        <v/>
      </c>
      <c r="M29" s="150">
        <f>SUM(M27:M28)</f>
        <v/>
      </c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31" t="inlineStr">
        <is>
          <t>核对</t>
        </is>
      </c>
      <c r="B31" s="32" t="n"/>
      <c r="C31" s="152">
        <f>C29-资本性支出附表!C30</f>
        <v/>
      </c>
      <c r="D31" s="152">
        <f>D29-资本性支出附表!D30</f>
        <v/>
      </c>
      <c r="E31" s="152">
        <f>E29-资本性支出附表!E30</f>
        <v/>
      </c>
      <c r="F31" s="152">
        <f>F29-资本性支出附表!F30</f>
        <v/>
      </c>
      <c r="G31" s="152">
        <f>G29-资本性支出附表!G30</f>
        <v/>
      </c>
      <c r="H31" s="152">
        <f>H29-资本性支出附表!H30</f>
        <v/>
      </c>
      <c r="I31" s="152">
        <f>I29-资本性支出附表!I30</f>
        <v/>
      </c>
      <c r="J31" s="152">
        <f>J29-资本性支出附表!J30</f>
        <v/>
      </c>
      <c r="K31" s="152">
        <f>K29-资本性支出附表!K30</f>
        <v/>
      </c>
      <c r="L31" s="152">
        <f>L29-资本性支出附表!L30</f>
        <v/>
      </c>
      <c r="M31" s="152">
        <f>M29-资本性支出附表!M30</f>
        <v/>
      </c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</row>
  </sheetData>
  <mergeCells count="18">
    <mergeCell ref="A5:A6"/>
    <mergeCell ref="C5:F5"/>
    <mergeCell ref="A29:B29"/>
    <mergeCell ref="A1:M1"/>
    <mergeCell ref="A9:A10"/>
    <mergeCell ref="A13:A14"/>
    <mergeCell ref="A17:A19"/>
    <mergeCell ref="B5:B6"/>
    <mergeCell ref="A28:B28"/>
    <mergeCell ref="A15:A16"/>
    <mergeCell ref="A7:A8"/>
    <mergeCell ref="G25:M25"/>
    <mergeCell ref="C25:F25"/>
    <mergeCell ref="A27:B27"/>
    <mergeCell ref="A2:M2"/>
    <mergeCell ref="A25:B26"/>
    <mergeCell ref="A11:A12"/>
    <mergeCell ref="G5:M5"/>
  </mergeCells>
  <conditionalFormatting sqref="C31:M31">
    <cfRule type="cellIs" priority="3" operator="notEqual" dxfId="0">
      <formula>0</formula>
    </cfRule>
  </conditionalFormatting>
  <conditionalFormatting sqref="C21:M22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N260"/>
  <sheetViews>
    <sheetView workbookViewId="0">
      <pane xSplit="1" ySplit="4" topLeftCell="F11" activePane="bottomRight" state="frozen"/>
      <selection pane="topRight" activeCell="A1" sqref="A1"/>
      <selection pane="bottomLeft" activeCell="A1" sqref="A1"/>
      <selection pane="bottomRight" activeCell="H11" sqref="H11:M11"/>
    </sheetView>
  </sheetViews>
  <sheetFormatPr baseColWidth="8" defaultColWidth="9.109375" defaultRowHeight="14.4"/>
  <cols>
    <col width="35" customWidth="1" style="1" min="1" max="1"/>
    <col width="15" customWidth="1" style="1" min="2" max="14"/>
    <col width="9.109375" customWidth="1" style="1" min="15" max="15"/>
    <col width="9.109375" customWidth="1" style="1" min="16" max="16384"/>
  </cols>
  <sheetData>
    <row r="1" ht="17.4" customHeight="1">
      <c r="A1" s="119" t="inlineStr">
        <is>
          <t>折旧摊销分析预测表</t>
        </is>
      </c>
      <c r="O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N3" s="3">
        <f>"金额单位："&amp;项目信息!B8&amp;""</f>
        <v/>
      </c>
    </row>
    <row r="4">
      <c r="A4" s="5" t="inlineStr">
        <is>
          <t>一、折旧预测表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</row>
    <row r="5">
      <c r="A5" s="124" t="inlineStr">
        <is>
          <t>资产类别</t>
        </is>
      </c>
      <c r="B5" s="124" t="inlineStr">
        <is>
          <t>资产项目</t>
        </is>
      </c>
      <c r="C5" s="124" t="inlineStr">
        <is>
          <t>折旧总年限</t>
        </is>
      </c>
      <c r="D5" s="124" t="inlineStr">
        <is>
          <t>残值率（%）</t>
        </is>
      </c>
      <c r="E5" s="124" t="inlineStr">
        <is>
          <t>账面原值</t>
        </is>
      </c>
      <c r="F5" s="124" t="inlineStr">
        <is>
          <t>基准日账面净值</t>
        </is>
      </c>
      <c r="G5" s="124" t="inlineStr">
        <is>
          <t>年折旧额</t>
        </is>
      </c>
      <c r="H5" s="124" t="inlineStr">
        <is>
          <t>2025年7-12月</t>
        </is>
      </c>
      <c r="I5" s="124" t="inlineStr">
        <is>
          <t>2026年度</t>
        </is>
      </c>
      <c r="J5" s="124" t="inlineStr">
        <is>
          <t>2027年度</t>
        </is>
      </c>
      <c r="K5" s="124" t="inlineStr">
        <is>
          <t>2028年度</t>
        </is>
      </c>
      <c r="L5" s="124" t="inlineStr">
        <is>
          <t>2029年度</t>
        </is>
      </c>
      <c r="M5" s="124" t="inlineStr">
        <is>
          <t>2030年度</t>
        </is>
      </c>
      <c r="N5" s="124" t="inlineStr">
        <is>
          <t>永续年度</t>
        </is>
      </c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</row>
    <row r="6">
      <c r="A6" s="122" t="inlineStr">
        <is>
          <t>房屋建筑物</t>
        </is>
      </c>
      <c r="B6" s="148" t="n"/>
      <c r="C6" s="148" t="n"/>
      <c r="D6" s="148" t="n"/>
      <c r="E6" s="151">
        <f>SUM(E7:E9)</f>
        <v/>
      </c>
      <c r="F6" s="151">
        <f>SUM(F7:F9)</f>
        <v/>
      </c>
      <c r="G6" s="151">
        <f>SUM(G7:G9)</f>
        <v/>
      </c>
      <c r="H6" s="151">
        <f>SUM(H7:H9)</f>
        <v/>
      </c>
      <c r="I6" s="151">
        <f>SUM(I7:I9)</f>
        <v/>
      </c>
      <c r="J6" s="151">
        <f>SUM(J7:J9)</f>
        <v/>
      </c>
      <c r="K6" s="151">
        <f>SUM(K7:K9)</f>
        <v/>
      </c>
      <c r="L6" s="151">
        <f>SUM(L7:L9)</f>
        <v/>
      </c>
      <c r="M6" s="151">
        <f>SUM(M7:M9)</f>
        <v/>
      </c>
      <c r="N6" s="151">
        <f>SUM(N7:N9)</f>
        <v/>
      </c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</row>
    <row r="7">
      <c r="A7" s="7" t="n"/>
      <c r="B7" s="149" t="n"/>
      <c r="C7" s="149" t="n"/>
      <c r="D7" s="12" t="n"/>
      <c r="E7" s="149" t="n"/>
      <c r="F7" s="149" t="n"/>
      <c r="G7" s="151">
        <f>IFERROR(E7*(1-D7)/C7,0)</f>
        <v/>
      </c>
      <c r="H7" s="149" t="n"/>
      <c r="I7" s="149" t="n"/>
      <c r="J7" s="149" t="n"/>
      <c r="K7" s="149" t="n"/>
      <c r="L7" s="149" t="n"/>
      <c r="M7" s="149" t="n"/>
      <c r="N7" s="149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</row>
    <row r="8">
      <c r="A8" s="7" t="n"/>
      <c r="B8" s="149" t="n"/>
      <c r="C8" s="149" t="n"/>
      <c r="D8" s="12" t="n"/>
      <c r="E8" s="149" t="n"/>
      <c r="F8" s="149" t="n"/>
      <c r="G8" s="151">
        <f>IFERROR(E8*(1-D8)/C8,0)</f>
        <v/>
      </c>
      <c r="H8" s="149" t="n"/>
      <c r="I8" s="149" t="n"/>
      <c r="J8" s="149" t="n"/>
      <c r="K8" s="149" t="n"/>
      <c r="L8" s="149" t="n"/>
      <c r="M8" s="149" t="n"/>
      <c r="N8" s="149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</row>
    <row r="9">
      <c r="A9" s="7" t="n"/>
      <c r="B9" s="149" t="n"/>
      <c r="C9" s="149" t="n"/>
      <c r="D9" s="12" t="n"/>
      <c r="E9" s="149" t="n"/>
      <c r="F9" s="149" t="n"/>
      <c r="G9" s="151">
        <f>IFERROR(E9*(1-D9)/C9,0)</f>
        <v/>
      </c>
      <c r="H9" s="149" t="n"/>
      <c r="I9" s="149" t="n"/>
      <c r="J9" s="149" t="n"/>
      <c r="K9" s="149" t="n"/>
      <c r="L9" s="149" t="n"/>
      <c r="M9" s="149" t="n"/>
      <c r="N9" s="149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</row>
    <row r="10">
      <c r="A10" s="122" t="inlineStr">
        <is>
          <t>机器设备</t>
        </is>
      </c>
      <c r="B10" s="148" t="n"/>
      <c r="C10" s="148" t="n"/>
      <c r="D10" s="148" t="n"/>
      <c r="E10" s="151">
        <f>SUM(E11:E13)</f>
        <v/>
      </c>
      <c r="F10" s="151">
        <f>SUM(F11:F13)</f>
        <v/>
      </c>
      <c r="G10" s="151">
        <f>SUM(G11:G13)</f>
        <v/>
      </c>
      <c r="H10" s="151">
        <f>SUM(H11:H13)</f>
        <v/>
      </c>
      <c r="I10" s="151">
        <f>SUM(I11:I13)</f>
        <v/>
      </c>
      <c r="J10" s="151">
        <f>SUM(J11:J13)</f>
        <v/>
      </c>
      <c r="K10" s="151">
        <f>SUM(K11:K13)</f>
        <v/>
      </c>
      <c r="L10" s="151">
        <f>SUM(L11:L13)</f>
        <v/>
      </c>
      <c r="M10" s="151">
        <f>SUM(M11:M13)</f>
        <v/>
      </c>
      <c r="N10" s="151">
        <f>SUM(N11:N13)</f>
        <v/>
      </c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</row>
    <row r="11">
      <c r="A11" s="7" t="n"/>
      <c r="B11" s="149" t="n"/>
      <c r="C11" s="149" t="n"/>
      <c r="D11" s="12" t="n"/>
      <c r="E11" s="149" t="n"/>
      <c r="F11" s="149" t="n"/>
      <c r="G11" s="151">
        <f>IFERROR(E11*(1-D11)/C11,0)</f>
        <v/>
      </c>
      <c r="H11" s="149" t="n"/>
      <c r="I11" s="149" t="n"/>
      <c r="J11" s="149" t="n"/>
      <c r="K11" s="149" t="n"/>
      <c r="L11" s="149" t="n"/>
      <c r="M11" s="149" t="n"/>
      <c r="N11" s="149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</row>
    <row r="12">
      <c r="A12" s="7" t="n"/>
      <c r="B12" s="149" t="n"/>
      <c r="C12" s="149" t="n"/>
      <c r="D12" s="12" t="n"/>
      <c r="E12" s="149" t="n"/>
      <c r="F12" s="149" t="n"/>
      <c r="G12" s="151">
        <f>IFERROR(E12*(1-D12)/C12,0)</f>
        <v/>
      </c>
      <c r="H12" s="149" t="n"/>
      <c r="I12" s="149" t="n"/>
      <c r="J12" s="149" t="n"/>
      <c r="K12" s="149" t="n"/>
      <c r="L12" s="149" t="n"/>
      <c r="M12" s="149" t="n"/>
      <c r="N12" s="149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</row>
    <row r="13">
      <c r="A13" s="7" t="n"/>
      <c r="B13" s="149" t="n"/>
      <c r="C13" s="149" t="n"/>
      <c r="D13" s="12" t="n"/>
      <c r="E13" s="149" t="n"/>
      <c r="F13" s="149" t="n"/>
      <c r="G13" s="151">
        <f>IFERROR(E13*(1-D13)/C13,0)</f>
        <v/>
      </c>
      <c r="H13" s="149" t="n"/>
      <c r="I13" s="149" t="n"/>
      <c r="J13" s="149" t="n"/>
      <c r="K13" s="149" t="n"/>
      <c r="L13" s="149" t="n"/>
      <c r="M13" s="149" t="n"/>
      <c r="N13" s="149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</row>
    <row r="14">
      <c r="A14" s="122" t="inlineStr">
        <is>
          <t>运输设备</t>
        </is>
      </c>
      <c r="B14" s="148" t="n"/>
      <c r="C14" s="148" t="n"/>
      <c r="D14" s="148" t="n"/>
      <c r="E14" s="151">
        <f>SUM(E15:E17)</f>
        <v/>
      </c>
      <c r="F14" s="151">
        <f>SUM(F15:F17)</f>
        <v/>
      </c>
      <c r="G14" s="151">
        <f>SUM(G15:G17)</f>
        <v/>
      </c>
      <c r="H14" s="151">
        <f>SUM(H15:H17)</f>
        <v/>
      </c>
      <c r="I14" s="151">
        <f>SUM(I15:I17)</f>
        <v/>
      </c>
      <c r="J14" s="151">
        <f>SUM(J15:J17)</f>
        <v/>
      </c>
      <c r="K14" s="151">
        <f>SUM(K15:K17)</f>
        <v/>
      </c>
      <c r="L14" s="151">
        <f>SUM(L15:L17)</f>
        <v/>
      </c>
      <c r="M14" s="151">
        <f>SUM(M15:M17)</f>
        <v/>
      </c>
      <c r="N14" s="151">
        <f>SUM(N15:N17)</f>
        <v/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</row>
    <row r="15">
      <c r="A15" s="7" t="n"/>
      <c r="B15" s="149" t="n"/>
      <c r="C15" s="149" t="n"/>
      <c r="D15" s="12" t="n"/>
      <c r="E15" s="149" t="n"/>
      <c r="F15" s="149" t="n"/>
      <c r="G15" s="151">
        <f>IFERROR(E15*(1-D15)/C15,0)</f>
        <v/>
      </c>
      <c r="H15" s="149" t="n"/>
      <c r="I15" s="149" t="n"/>
      <c r="J15" s="149" t="n"/>
      <c r="K15" s="149" t="n"/>
      <c r="L15" s="149" t="n"/>
      <c r="M15" s="149" t="n"/>
      <c r="N15" s="149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</row>
    <row r="16">
      <c r="A16" s="7" t="n"/>
      <c r="B16" s="149" t="n"/>
      <c r="C16" s="149" t="n"/>
      <c r="D16" s="12" t="n"/>
      <c r="E16" s="149" t="n"/>
      <c r="F16" s="149" t="n"/>
      <c r="G16" s="151">
        <f>IFERROR(E16*(1-D16)/C16,0)</f>
        <v/>
      </c>
      <c r="H16" s="149" t="n"/>
      <c r="I16" s="149" t="n"/>
      <c r="J16" s="149" t="n"/>
      <c r="K16" s="149" t="n"/>
      <c r="L16" s="149" t="n"/>
      <c r="M16" s="149" t="n"/>
      <c r="N16" s="149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</row>
    <row r="17">
      <c r="A17" s="7" t="n"/>
      <c r="B17" s="149" t="n"/>
      <c r="C17" s="149" t="n"/>
      <c r="D17" s="12" t="n"/>
      <c r="E17" s="149" t="n"/>
      <c r="F17" s="149" t="n"/>
      <c r="G17" s="151">
        <f>IFERROR(E17*(1-D17)/C17,0)</f>
        <v/>
      </c>
      <c r="H17" s="149" t="n"/>
      <c r="I17" s="149" t="n"/>
      <c r="J17" s="149" t="n"/>
      <c r="K17" s="149" t="n"/>
      <c r="L17" s="149" t="n"/>
      <c r="M17" s="149" t="n"/>
      <c r="N17" s="149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</row>
    <row r="18">
      <c r="A18" s="122" t="inlineStr">
        <is>
          <t>电子设备和其他设备</t>
        </is>
      </c>
      <c r="B18" s="148" t="n"/>
      <c r="C18" s="148" t="n"/>
      <c r="D18" s="148" t="n"/>
      <c r="E18" s="151">
        <f>SUM(E19:E21)</f>
        <v/>
      </c>
      <c r="F18" s="151">
        <f>SUM(F19:F21)</f>
        <v/>
      </c>
      <c r="G18" s="151">
        <f>SUM(G19:G21)</f>
        <v/>
      </c>
      <c r="H18" s="151">
        <f>SUM(H19:H21)</f>
        <v/>
      </c>
      <c r="I18" s="151">
        <f>SUM(I19:I21)</f>
        <v/>
      </c>
      <c r="J18" s="151">
        <f>SUM(J19:J21)</f>
        <v/>
      </c>
      <c r="K18" s="151">
        <f>SUM(K19:K21)</f>
        <v/>
      </c>
      <c r="L18" s="151">
        <f>SUM(L19:L21)</f>
        <v/>
      </c>
      <c r="M18" s="151">
        <f>SUM(M19:M21)</f>
        <v/>
      </c>
      <c r="N18" s="151">
        <f>SUM(N19:N21)</f>
        <v/>
      </c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</row>
    <row r="19">
      <c r="A19" s="7" t="n"/>
      <c r="B19" s="149" t="n"/>
      <c r="C19" s="149" t="n"/>
      <c r="D19" s="12" t="n"/>
      <c r="E19" s="149" t="n"/>
      <c r="F19" s="149" t="n"/>
      <c r="G19" s="151">
        <f>IFERROR(E19*(1-D19)/C19,0)</f>
        <v/>
      </c>
      <c r="H19" s="149" t="n"/>
      <c r="I19" s="149" t="n"/>
      <c r="J19" s="149" t="n"/>
      <c r="K19" s="149" t="n"/>
      <c r="L19" s="149" t="n"/>
      <c r="M19" s="149" t="n"/>
      <c r="N19" s="149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</row>
    <row r="20">
      <c r="A20" s="7" t="n"/>
      <c r="B20" s="149" t="n"/>
      <c r="C20" s="149" t="n"/>
      <c r="D20" s="12" t="n"/>
      <c r="E20" s="149" t="n"/>
      <c r="F20" s="149" t="n"/>
      <c r="G20" s="151">
        <f>IFERROR(E20*(1-D20)/C20,0)</f>
        <v/>
      </c>
      <c r="H20" s="149" t="n"/>
      <c r="I20" s="149" t="n"/>
      <c r="J20" s="149" t="n"/>
      <c r="K20" s="149" t="n"/>
      <c r="L20" s="149" t="n"/>
      <c r="M20" s="149" t="n"/>
      <c r="N20" s="149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</row>
    <row r="21">
      <c r="A21" s="7" t="n"/>
      <c r="B21" s="149" t="n"/>
      <c r="C21" s="149" t="n"/>
      <c r="D21" s="12" t="n"/>
      <c r="E21" s="149" t="n"/>
      <c r="F21" s="149" t="n"/>
      <c r="G21" s="151">
        <f>IFERROR(E21*(1-D21)/C21,0)</f>
        <v/>
      </c>
      <c r="H21" s="149" t="n"/>
      <c r="I21" s="149" t="n"/>
      <c r="J21" s="149" t="n"/>
      <c r="K21" s="149" t="n"/>
      <c r="L21" s="149" t="n"/>
      <c r="M21" s="149" t="n"/>
      <c r="N21" s="149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</row>
    <row r="22">
      <c r="A22" s="122" t="inlineStr">
        <is>
          <t>投资性房地产</t>
        </is>
      </c>
      <c r="B22" s="148" t="n"/>
      <c r="C22" s="148" t="n"/>
      <c r="D22" s="148" t="n"/>
      <c r="E22" s="151">
        <f>SUM(E23:E25)</f>
        <v/>
      </c>
      <c r="F22" s="151">
        <f>SUM(F23:F25)</f>
        <v/>
      </c>
      <c r="G22" s="151">
        <f>SUM(G23:G25)</f>
        <v/>
      </c>
      <c r="H22" s="151">
        <f>SUM(H23:H25)</f>
        <v/>
      </c>
      <c r="I22" s="151">
        <f>SUM(I23:I25)</f>
        <v/>
      </c>
      <c r="J22" s="151">
        <f>SUM(J23:J25)</f>
        <v/>
      </c>
      <c r="K22" s="151">
        <f>SUM(K23:K25)</f>
        <v/>
      </c>
      <c r="L22" s="151">
        <f>SUM(L23:L25)</f>
        <v/>
      </c>
      <c r="M22" s="151">
        <f>SUM(M23:M25)</f>
        <v/>
      </c>
      <c r="N22" s="151">
        <f>SUM(N23:N25)</f>
        <v/>
      </c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</row>
    <row r="23">
      <c r="A23" s="7" t="n"/>
      <c r="B23" s="149" t="n"/>
      <c r="C23" s="149" t="n"/>
      <c r="D23" s="12" t="n"/>
      <c r="E23" s="149" t="n"/>
      <c r="F23" s="149" t="n"/>
      <c r="G23" s="151">
        <f>IFERROR(E23*(1-D23)/C23,0)</f>
        <v/>
      </c>
      <c r="H23" s="149" t="n"/>
      <c r="I23" s="149" t="n"/>
      <c r="J23" s="149" t="n"/>
      <c r="K23" s="149" t="n"/>
      <c r="L23" s="149" t="n"/>
      <c r="M23" s="149" t="n"/>
      <c r="N23" s="149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</row>
    <row r="24">
      <c r="A24" s="7" t="n"/>
      <c r="B24" s="149" t="n"/>
      <c r="C24" s="149" t="n"/>
      <c r="D24" s="12" t="n"/>
      <c r="E24" s="149" t="n"/>
      <c r="F24" s="149" t="n"/>
      <c r="G24" s="151">
        <f>IFERROR(E24*(1-D24)/C24,0)</f>
        <v/>
      </c>
      <c r="H24" s="149" t="n"/>
      <c r="I24" s="149" t="n"/>
      <c r="J24" s="149" t="n"/>
      <c r="K24" s="149" t="n"/>
      <c r="L24" s="149" t="n"/>
      <c r="M24" s="149" t="n"/>
      <c r="N24" s="149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</row>
    <row r="25">
      <c r="A25" s="7" t="n"/>
      <c r="B25" s="149" t="n"/>
      <c r="C25" s="149" t="n"/>
      <c r="D25" s="12" t="n"/>
      <c r="E25" s="149" t="n"/>
      <c r="F25" s="149" t="n"/>
      <c r="G25" s="151">
        <f>IFERROR(E25*(1-D25)/C25,0)</f>
        <v/>
      </c>
      <c r="H25" s="149" t="n"/>
      <c r="I25" s="149" t="n"/>
      <c r="J25" s="149" t="n"/>
      <c r="K25" s="149" t="n"/>
      <c r="L25" s="149" t="n"/>
      <c r="M25" s="149" t="n"/>
      <c r="N25" s="149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</row>
    <row r="26">
      <c r="A26" s="122" t="inlineStr">
        <is>
          <t>其他资产</t>
        </is>
      </c>
      <c r="B26" s="148" t="n"/>
      <c r="C26" s="148" t="n"/>
      <c r="D26" s="148" t="n"/>
      <c r="E26" s="151">
        <f>SUM(E27:E29)</f>
        <v/>
      </c>
      <c r="F26" s="151">
        <f>SUM(F27:F29)</f>
        <v/>
      </c>
      <c r="G26" s="151">
        <f>SUM(G27:G29)</f>
        <v/>
      </c>
      <c r="H26" s="151">
        <f>SUM(H27:H29)</f>
        <v/>
      </c>
      <c r="I26" s="151">
        <f>SUM(I27:I29)</f>
        <v/>
      </c>
      <c r="J26" s="151">
        <f>SUM(J27:J29)</f>
        <v/>
      </c>
      <c r="K26" s="151">
        <f>SUM(K27:K29)</f>
        <v/>
      </c>
      <c r="L26" s="151">
        <f>SUM(L27:L29)</f>
        <v/>
      </c>
      <c r="M26" s="151">
        <f>SUM(M27:M29)</f>
        <v/>
      </c>
      <c r="N26" s="151">
        <f>SUM(N27:N29)</f>
        <v/>
      </c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</row>
    <row r="27">
      <c r="A27" s="7" t="n"/>
      <c r="B27" s="149" t="n"/>
      <c r="C27" s="149" t="n"/>
      <c r="D27" s="12" t="n"/>
      <c r="E27" s="149" t="n"/>
      <c r="F27" s="149" t="n"/>
      <c r="G27" s="151">
        <f>IFERROR(E27*(1-D27)/C27,0)</f>
        <v/>
      </c>
      <c r="H27" s="149" t="n"/>
      <c r="I27" s="149" t="n"/>
      <c r="J27" s="149" t="n"/>
      <c r="K27" s="149" t="n"/>
      <c r="L27" s="149" t="n"/>
      <c r="M27" s="149" t="n"/>
      <c r="N27" s="149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</row>
    <row r="28">
      <c r="A28" s="7" t="n"/>
      <c r="B28" s="149" t="n"/>
      <c r="C28" s="149" t="n"/>
      <c r="D28" s="12" t="n"/>
      <c r="E28" s="149" t="n"/>
      <c r="F28" s="149" t="n"/>
      <c r="G28" s="151">
        <f>IFERROR(E28*(1-D28)/C28,0)</f>
        <v/>
      </c>
      <c r="H28" s="149" t="n"/>
      <c r="I28" s="149" t="n"/>
      <c r="J28" s="149" t="n"/>
      <c r="K28" s="149" t="n"/>
      <c r="L28" s="149" t="n"/>
      <c r="M28" s="149" t="n"/>
      <c r="N28" s="149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</row>
    <row r="29">
      <c r="A29" s="7" t="n"/>
      <c r="B29" s="149" t="n"/>
      <c r="C29" s="149" t="n"/>
      <c r="D29" s="12" t="n"/>
      <c r="E29" s="149" t="n"/>
      <c r="F29" s="149" t="n"/>
      <c r="G29" s="151">
        <f>IFERROR(E29*(1-D29)/C29,0)</f>
        <v/>
      </c>
      <c r="H29" s="149" t="n"/>
      <c r="I29" s="149" t="n"/>
      <c r="J29" s="149" t="n"/>
      <c r="K29" s="149" t="n"/>
      <c r="L29" s="149" t="n"/>
      <c r="M29" s="149" t="n"/>
      <c r="N29" s="149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</row>
    <row r="30">
      <c r="A30" s="136" t="inlineStr">
        <is>
          <t>折旧合计</t>
        </is>
      </c>
      <c r="B30" s="171" t="n"/>
      <c r="C30" s="171" t="n"/>
      <c r="D30" s="171" t="n"/>
      <c r="E30" s="150">
        <f>E6+E10+E14+E18+E22+E26</f>
        <v/>
      </c>
      <c r="F30" s="150">
        <f>F6+F10+F14+F18+F22+F26</f>
        <v/>
      </c>
      <c r="G30" s="150">
        <f>G6+G10+G14+G18+G22+G26</f>
        <v/>
      </c>
      <c r="H30" s="150">
        <f>H6+H10+H14+H18+H22+H26</f>
        <v/>
      </c>
      <c r="I30" s="150">
        <f>I6+I10+I14+I18+I22+I26</f>
        <v/>
      </c>
      <c r="J30" s="150">
        <f>J6+J10+J14+J18+J22+J26</f>
        <v/>
      </c>
      <c r="K30" s="150">
        <f>K6+K10+K14+K18+K22+K26</f>
        <v/>
      </c>
      <c r="L30" s="150">
        <f>L6+L10+L14+L18+L22+L26</f>
        <v/>
      </c>
      <c r="M30" s="150">
        <f>M6+M10+M14+M18+M22+M26</f>
        <v/>
      </c>
      <c r="N30" s="150">
        <f>N6+N10+N14+N18+N22+N26</f>
        <v/>
      </c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</row>
    <row r="33">
      <c r="A33" s="5" t="inlineStr">
        <is>
          <t>二、摊销预测表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</row>
    <row r="34">
      <c r="A34" s="124" t="inlineStr">
        <is>
          <t>资产类别</t>
        </is>
      </c>
      <c r="B34" s="124" t="inlineStr">
        <is>
          <t>资产项目</t>
        </is>
      </c>
      <c r="C34" s="124" t="inlineStr">
        <is>
          <t>摊销总年限</t>
        </is>
      </c>
      <c r="D34" s="38" t="inlineStr">
        <is>
          <t>残值率（%）</t>
        </is>
      </c>
      <c r="E34" s="124" t="inlineStr">
        <is>
          <t>账面原值</t>
        </is>
      </c>
      <c r="F34" s="124" t="inlineStr">
        <is>
          <t>基准日账面净值</t>
        </is>
      </c>
      <c r="G34" s="124" t="inlineStr">
        <is>
          <t>年摊销额</t>
        </is>
      </c>
      <c r="H34" s="124" t="inlineStr">
        <is>
          <t>2025年7-12月</t>
        </is>
      </c>
      <c r="I34" s="124" t="inlineStr">
        <is>
          <t>2026年度</t>
        </is>
      </c>
      <c r="J34" s="124" t="inlineStr">
        <is>
          <t>2027年度</t>
        </is>
      </c>
      <c r="K34" s="124" t="inlineStr">
        <is>
          <t>2028年度</t>
        </is>
      </c>
      <c r="L34" s="124" t="inlineStr">
        <is>
          <t>2029年度</t>
        </is>
      </c>
      <c r="M34" s="124" t="inlineStr">
        <is>
          <t>2030年度</t>
        </is>
      </c>
      <c r="N34" s="124" t="inlineStr">
        <is>
          <t>永续年度</t>
        </is>
      </c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</row>
    <row r="35">
      <c r="A35" s="122" t="inlineStr">
        <is>
          <t>无形资产</t>
        </is>
      </c>
      <c r="B35" s="148" t="n"/>
      <c r="C35" s="148" t="n"/>
      <c r="D35" s="148" t="n"/>
      <c r="E35" s="151">
        <f>E36+E40+E44+E48</f>
        <v/>
      </c>
      <c r="F35" s="151">
        <f>F36+F40+F44+F48</f>
        <v/>
      </c>
      <c r="G35" s="151">
        <f>G36+G40+G44+G48</f>
        <v/>
      </c>
      <c r="H35" s="151">
        <f>H36+H40+H44+H48</f>
        <v/>
      </c>
      <c r="I35" s="151">
        <f>I36+I40+I44+I48</f>
        <v/>
      </c>
      <c r="J35" s="151">
        <f>J36+J40+J44+J48</f>
        <v/>
      </c>
      <c r="K35" s="151">
        <f>K36+K40+K44+K48</f>
        <v/>
      </c>
      <c r="L35" s="151">
        <f>L36+L40+L44+L48</f>
        <v/>
      </c>
      <c r="M35" s="151">
        <f>M36+M40+M44+M48</f>
        <v/>
      </c>
      <c r="N35" s="151">
        <f>N36+N40+N44+N48</f>
        <v/>
      </c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</row>
    <row r="36">
      <c r="A36" s="122" t="inlineStr">
        <is>
          <t xml:space="preserve">  土地使用权</t>
        </is>
      </c>
      <c r="B36" s="148" t="n"/>
      <c r="C36" s="148" t="n"/>
      <c r="D36" s="148" t="n"/>
      <c r="E36" s="151">
        <f>SUM(E37:E39)</f>
        <v/>
      </c>
      <c r="F36" s="151">
        <f>SUM(F37:F39)</f>
        <v/>
      </c>
      <c r="G36" s="151">
        <f>SUM(G37:G39)</f>
        <v/>
      </c>
      <c r="H36" s="151">
        <f>SUM(H37:H39)</f>
        <v/>
      </c>
      <c r="I36" s="151">
        <f>SUM(I37:I39)</f>
        <v/>
      </c>
      <c r="J36" s="151">
        <f>SUM(J37:J39)</f>
        <v/>
      </c>
      <c r="K36" s="151">
        <f>SUM(K37:K39)</f>
        <v/>
      </c>
      <c r="L36" s="151">
        <f>SUM(L37:L39)</f>
        <v/>
      </c>
      <c r="M36" s="151">
        <f>SUM(M37:M39)</f>
        <v/>
      </c>
      <c r="N36" s="151">
        <f>SUM(N37:N39)</f>
        <v/>
      </c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</row>
    <row r="37">
      <c r="A37" s="7" t="n"/>
      <c r="B37" s="149" t="n"/>
      <c r="C37" s="149" t="n"/>
      <c r="D37" s="12" t="n"/>
      <c r="E37" s="149" t="n"/>
      <c r="F37" s="149" t="n"/>
      <c r="G37" s="151">
        <f>IFERROR(E37*(1-D37)/C37,0)</f>
        <v/>
      </c>
      <c r="H37" s="149" t="n"/>
      <c r="I37" s="149" t="n"/>
      <c r="J37" s="149" t="n"/>
      <c r="K37" s="149" t="n"/>
      <c r="L37" s="149" t="n"/>
      <c r="M37" s="149" t="n"/>
      <c r="N37" s="149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</row>
    <row r="38">
      <c r="A38" s="7" t="n"/>
      <c r="B38" s="149" t="n"/>
      <c r="C38" s="149" t="n"/>
      <c r="D38" s="12" t="n"/>
      <c r="E38" s="149" t="n"/>
      <c r="F38" s="149" t="n"/>
      <c r="G38" s="151">
        <f>IFERROR(E38*(1-D38)/C38,0)</f>
        <v/>
      </c>
      <c r="H38" s="149" t="n"/>
      <c r="I38" s="149" t="n"/>
      <c r="J38" s="149" t="n"/>
      <c r="K38" s="149" t="n"/>
      <c r="L38" s="149" t="n"/>
      <c r="M38" s="149" t="n"/>
      <c r="N38" s="149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</row>
    <row r="39">
      <c r="A39" s="7" t="n"/>
      <c r="B39" s="149" t="n"/>
      <c r="C39" s="149" t="n"/>
      <c r="D39" s="12" t="n"/>
      <c r="E39" s="149" t="n"/>
      <c r="F39" s="149" t="n"/>
      <c r="G39" s="151">
        <f>IFERROR(E39*(1-D39)/C39,0)</f>
        <v/>
      </c>
      <c r="H39" s="149" t="n"/>
      <c r="I39" s="149" t="n"/>
      <c r="J39" s="149" t="n"/>
      <c r="K39" s="149" t="n"/>
      <c r="L39" s="149" t="n"/>
      <c r="M39" s="149" t="n"/>
      <c r="N39" s="149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</row>
    <row r="40">
      <c r="A40" s="122" t="inlineStr">
        <is>
          <t xml:space="preserve">  商标</t>
        </is>
      </c>
      <c r="B40" s="148" t="n"/>
      <c r="C40" s="148" t="n"/>
      <c r="D40" s="148" t="n"/>
      <c r="E40" s="151">
        <f>SUM(E41:E43)</f>
        <v/>
      </c>
      <c r="F40" s="151">
        <f>SUM(F41:F43)</f>
        <v/>
      </c>
      <c r="G40" s="151">
        <f>SUM(G41:G43)</f>
        <v/>
      </c>
      <c r="H40" s="151">
        <f>SUM(H41:H43)</f>
        <v/>
      </c>
      <c r="I40" s="151">
        <f>SUM(I41:I43)</f>
        <v/>
      </c>
      <c r="J40" s="151">
        <f>SUM(J41:J43)</f>
        <v/>
      </c>
      <c r="K40" s="151">
        <f>SUM(K41:K43)</f>
        <v/>
      </c>
      <c r="L40" s="151">
        <f>SUM(L41:L43)</f>
        <v/>
      </c>
      <c r="M40" s="151">
        <f>SUM(M41:M43)</f>
        <v/>
      </c>
      <c r="N40" s="151">
        <f>SUM(N41:N43)</f>
        <v/>
      </c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</row>
    <row r="41">
      <c r="A41" s="7" t="n"/>
      <c r="B41" s="149" t="n"/>
      <c r="C41" s="149" t="n"/>
      <c r="D41" s="12" t="n"/>
      <c r="E41" s="149" t="n"/>
      <c r="F41" s="149" t="n"/>
      <c r="G41" s="151">
        <f>IFERROR(E41*(1-D41)/C41,0)</f>
        <v/>
      </c>
      <c r="H41" s="149" t="n"/>
      <c r="I41" s="149" t="n"/>
      <c r="J41" s="149" t="n"/>
      <c r="K41" s="149" t="n"/>
      <c r="L41" s="149" t="n"/>
      <c r="M41" s="149" t="n"/>
      <c r="N41" s="149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</row>
    <row r="42">
      <c r="A42" s="7" t="n"/>
      <c r="B42" s="149" t="n"/>
      <c r="C42" s="149" t="n"/>
      <c r="D42" s="12" t="n"/>
      <c r="E42" s="149" t="n"/>
      <c r="F42" s="149" t="n"/>
      <c r="G42" s="151">
        <f>IFERROR(E42*(1-D42)/C42,0)</f>
        <v/>
      </c>
      <c r="H42" s="149" t="n"/>
      <c r="I42" s="149" t="n"/>
      <c r="J42" s="149" t="n"/>
      <c r="K42" s="149" t="n"/>
      <c r="L42" s="149" t="n"/>
      <c r="M42" s="149" t="n"/>
      <c r="N42" s="149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</row>
    <row r="43">
      <c r="A43" s="7" t="n"/>
      <c r="B43" s="149" t="n"/>
      <c r="C43" s="149" t="n"/>
      <c r="D43" s="12" t="n"/>
      <c r="E43" s="149" t="n"/>
      <c r="F43" s="149" t="n"/>
      <c r="G43" s="151">
        <f>IFERROR(E43*(1-D43)/C43,0)</f>
        <v/>
      </c>
      <c r="H43" s="149" t="n"/>
      <c r="I43" s="149" t="n"/>
      <c r="J43" s="149" t="n"/>
      <c r="K43" s="149" t="n"/>
      <c r="L43" s="149" t="n"/>
      <c r="M43" s="149" t="n"/>
      <c r="N43" s="149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</row>
    <row r="44">
      <c r="A44" s="122" t="inlineStr">
        <is>
          <t xml:space="preserve">  专利</t>
        </is>
      </c>
      <c r="B44" s="148" t="n"/>
      <c r="C44" s="148" t="n"/>
      <c r="D44" s="148" t="n"/>
      <c r="E44" s="151">
        <f>SUM(E45:E47)</f>
        <v/>
      </c>
      <c r="F44" s="151">
        <f>SUM(F45:F47)</f>
        <v/>
      </c>
      <c r="G44" s="151">
        <f>SUM(G45:G47)</f>
        <v/>
      </c>
      <c r="H44" s="151">
        <f>SUM(H45:H47)</f>
        <v/>
      </c>
      <c r="I44" s="151">
        <f>SUM(I45:I47)</f>
        <v/>
      </c>
      <c r="J44" s="151">
        <f>SUM(J45:J47)</f>
        <v/>
      </c>
      <c r="K44" s="151">
        <f>SUM(K45:K47)</f>
        <v/>
      </c>
      <c r="L44" s="151">
        <f>SUM(L45:L47)</f>
        <v/>
      </c>
      <c r="M44" s="151">
        <f>SUM(M45:M47)</f>
        <v/>
      </c>
      <c r="N44" s="151">
        <f>SUM(N45:N47)</f>
        <v/>
      </c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</row>
    <row r="45">
      <c r="A45" s="7" t="n"/>
      <c r="B45" s="149" t="n"/>
      <c r="C45" s="149" t="n"/>
      <c r="D45" s="12" t="n"/>
      <c r="E45" s="149" t="n"/>
      <c r="F45" s="149" t="n"/>
      <c r="G45" s="151">
        <f>IFERROR(E45*(1-D45)/C45,0)</f>
        <v/>
      </c>
      <c r="H45" s="149" t="n"/>
      <c r="I45" s="149" t="n"/>
      <c r="J45" s="149" t="n"/>
      <c r="K45" s="149" t="n"/>
      <c r="L45" s="149" t="n"/>
      <c r="M45" s="149" t="n"/>
      <c r="N45" s="149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</row>
    <row r="46">
      <c r="A46" s="7" t="n"/>
      <c r="B46" s="149" t="n"/>
      <c r="C46" s="149" t="n"/>
      <c r="D46" s="12" t="n"/>
      <c r="E46" s="149" t="n"/>
      <c r="F46" s="149" t="n"/>
      <c r="G46" s="151">
        <f>IFERROR(E46*(1-D46)/C46,0)</f>
        <v/>
      </c>
      <c r="H46" s="149" t="n"/>
      <c r="I46" s="149" t="n"/>
      <c r="J46" s="149" t="n"/>
      <c r="K46" s="149" t="n"/>
      <c r="L46" s="149" t="n"/>
      <c r="M46" s="149" t="n"/>
      <c r="N46" s="149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</row>
    <row r="47">
      <c r="A47" s="7" t="n"/>
      <c r="B47" s="149" t="n"/>
      <c r="C47" s="149" t="n"/>
      <c r="D47" s="12" t="n"/>
      <c r="E47" s="149" t="n"/>
      <c r="F47" s="149" t="n"/>
      <c r="G47" s="151">
        <f>IFERROR(E47*(1-D47)/C47,0)</f>
        <v/>
      </c>
      <c r="H47" s="149" t="n"/>
      <c r="I47" s="149" t="n"/>
      <c r="J47" s="149" t="n"/>
      <c r="K47" s="149" t="n"/>
      <c r="L47" s="149" t="n"/>
      <c r="M47" s="149" t="n"/>
      <c r="N47" s="149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</row>
    <row r="48">
      <c r="A48" s="122" t="inlineStr">
        <is>
          <t xml:space="preserve">  专有技术</t>
        </is>
      </c>
      <c r="B48" s="148" t="n"/>
      <c r="C48" s="148" t="n"/>
      <c r="D48" s="148" t="n"/>
      <c r="E48" s="151">
        <f>SUM(E49:E51)</f>
        <v/>
      </c>
      <c r="F48" s="151">
        <f>SUM(F49:F51)</f>
        <v/>
      </c>
      <c r="G48" s="151">
        <f>SUM(G49:G51)</f>
        <v/>
      </c>
      <c r="H48" s="151">
        <f>SUM(H49:H51)</f>
        <v/>
      </c>
      <c r="I48" s="151">
        <f>SUM(I49:I51)</f>
        <v/>
      </c>
      <c r="J48" s="151">
        <f>SUM(J49:J51)</f>
        <v/>
      </c>
      <c r="K48" s="151">
        <f>SUM(K49:K51)</f>
        <v/>
      </c>
      <c r="L48" s="151">
        <f>SUM(L49:L51)</f>
        <v/>
      </c>
      <c r="M48" s="151">
        <f>SUM(M49:M51)</f>
        <v/>
      </c>
      <c r="N48" s="151">
        <f>SUM(N49:N51)</f>
        <v/>
      </c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</row>
    <row r="49">
      <c r="A49" s="7" t="n"/>
      <c r="B49" s="149" t="n"/>
      <c r="C49" s="149" t="n"/>
      <c r="D49" s="12" t="n"/>
      <c r="E49" s="149" t="n"/>
      <c r="F49" s="149" t="n"/>
      <c r="G49" s="151">
        <f>IFERROR(E49*(1-D49)/C49,0)</f>
        <v/>
      </c>
      <c r="H49" s="149" t="n"/>
      <c r="I49" s="149" t="n"/>
      <c r="J49" s="149" t="n"/>
      <c r="K49" s="149" t="n"/>
      <c r="L49" s="149" t="n"/>
      <c r="M49" s="149" t="n"/>
      <c r="N49" s="149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</row>
    <row r="50">
      <c r="A50" s="7" t="n"/>
      <c r="B50" s="149" t="n"/>
      <c r="C50" s="149" t="n"/>
      <c r="D50" s="12" t="n"/>
      <c r="E50" s="149" t="n"/>
      <c r="F50" s="149" t="n"/>
      <c r="G50" s="151">
        <f>IFERROR(E50*(1-D50)/C50,0)</f>
        <v/>
      </c>
      <c r="H50" s="149" t="n"/>
      <c r="I50" s="149" t="n"/>
      <c r="J50" s="149" t="n"/>
      <c r="K50" s="149" t="n"/>
      <c r="L50" s="149" t="n"/>
      <c r="M50" s="149" t="n"/>
      <c r="N50" s="149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</row>
    <row r="51">
      <c r="A51" s="7" t="n"/>
      <c r="B51" s="149" t="n"/>
      <c r="C51" s="149" t="n"/>
      <c r="D51" s="12" t="n"/>
      <c r="E51" s="149" t="n"/>
      <c r="F51" s="149" t="n"/>
      <c r="G51" s="151">
        <f>IFERROR(E51*(1-D51)/C51,0)</f>
        <v/>
      </c>
      <c r="H51" s="149" t="n"/>
      <c r="I51" s="149" t="n"/>
      <c r="J51" s="149" t="n"/>
      <c r="K51" s="149" t="n"/>
      <c r="L51" s="149" t="n"/>
      <c r="M51" s="149" t="n"/>
      <c r="N51" s="149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</row>
    <row r="52">
      <c r="A52" s="122" t="inlineStr">
        <is>
          <t>长期待摊费用</t>
        </is>
      </c>
      <c r="B52" s="148" t="n"/>
      <c r="C52" s="148" t="n"/>
      <c r="D52" s="148" t="n"/>
      <c r="E52" s="151">
        <f>SUM(E53:E55)</f>
        <v/>
      </c>
      <c r="F52" s="151">
        <f>SUM(F53:F55)</f>
        <v/>
      </c>
      <c r="G52" s="151">
        <f>SUM(G53:G55)</f>
        <v/>
      </c>
      <c r="H52" s="151">
        <f>SUM(H53:H55)</f>
        <v/>
      </c>
      <c r="I52" s="151">
        <f>SUM(I53:I55)</f>
        <v/>
      </c>
      <c r="J52" s="151">
        <f>SUM(J53:J55)</f>
        <v/>
      </c>
      <c r="K52" s="151">
        <f>SUM(K53:K55)</f>
        <v/>
      </c>
      <c r="L52" s="151">
        <f>SUM(L53:L55)</f>
        <v/>
      </c>
      <c r="M52" s="151">
        <f>SUM(M53:M55)</f>
        <v/>
      </c>
      <c r="N52" s="151">
        <f>SUM(N53:N55)</f>
        <v/>
      </c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</row>
    <row r="53">
      <c r="A53" s="7" t="n"/>
      <c r="B53" s="149" t="n"/>
      <c r="C53" s="149" t="n"/>
      <c r="D53" s="12" t="n"/>
      <c r="E53" s="149" t="n"/>
      <c r="F53" s="149" t="n"/>
      <c r="G53" s="151">
        <f>IFERROR(E53*(1-D53)/C53,0)</f>
        <v/>
      </c>
      <c r="H53" s="149" t="n"/>
      <c r="I53" s="149" t="n"/>
      <c r="J53" s="149" t="n"/>
      <c r="K53" s="149" t="n"/>
      <c r="L53" s="149" t="n"/>
      <c r="M53" s="149" t="n"/>
      <c r="N53" s="149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</row>
    <row r="54">
      <c r="A54" s="7" t="n"/>
      <c r="B54" s="149" t="n"/>
      <c r="C54" s="149" t="n"/>
      <c r="D54" s="12" t="n"/>
      <c r="E54" s="149" t="n"/>
      <c r="F54" s="149" t="n"/>
      <c r="G54" s="151">
        <f>IFERROR(E54*(1-D54)/C54,0)</f>
        <v/>
      </c>
      <c r="H54" s="149" t="n"/>
      <c r="I54" s="149" t="n"/>
      <c r="J54" s="149" t="n"/>
      <c r="K54" s="149" t="n"/>
      <c r="L54" s="149" t="n"/>
      <c r="M54" s="149" t="n"/>
      <c r="N54" s="149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</row>
    <row r="55">
      <c r="A55" s="7" t="n"/>
      <c r="B55" s="149" t="n"/>
      <c r="C55" s="149" t="n"/>
      <c r="D55" s="12" t="n"/>
      <c r="E55" s="149" t="n"/>
      <c r="F55" s="149" t="n"/>
      <c r="G55" s="151">
        <f>IFERROR(E55*(1-D55)/C55,0)</f>
        <v/>
      </c>
      <c r="H55" s="149" t="n"/>
      <c r="I55" s="149" t="n"/>
      <c r="J55" s="149" t="n"/>
      <c r="K55" s="149" t="n"/>
      <c r="L55" s="149" t="n"/>
      <c r="M55" s="149" t="n"/>
      <c r="N55" s="149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</row>
    <row r="56">
      <c r="A56" s="122" t="inlineStr">
        <is>
          <t>其他资产</t>
        </is>
      </c>
      <c r="B56" s="148" t="n"/>
      <c r="C56" s="148" t="n"/>
      <c r="D56" s="148" t="n"/>
      <c r="E56" s="151">
        <f>SUM(E57:E59)</f>
        <v/>
      </c>
      <c r="F56" s="151">
        <f>SUM(F57:F59)</f>
        <v/>
      </c>
      <c r="G56" s="151">
        <f>SUM(G57:G59)</f>
        <v/>
      </c>
      <c r="H56" s="151">
        <f>SUM(H57:H59)</f>
        <v/>
      </c>
      <c r="I56" s="151">
        <f>SUM(I57:I59)</f>
        <v/>
      </c>
      <c r="J56" s="151">
        <f>SUM(J57:J59)</f>
        <v/>
      </c>
      <c r="K56" s="151">
        <f>SUM(K57:K59)</f>
        <v/>
      </c>
      <c r="L56" s="151">
        <f>SUM(L57:L59)</f>
        <v/>
      </c>
      <c r="M56" s="151">
        <f>SUM(M57:M59)</f>
        <v/>
      </c>
      <c r="N56" s="151">
        <f>SUM(N57:N59)</f>
        <v/>
      </c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</row>
    <row r="57">
      <c r="A57" s="7" t="n"/>
      <c r="B57" s="149" t="n"/>
      <c r="C57" s="149" t="n"/>
      <c r="D57" s="12" t="n"/>
      <c r="E57" s="149" t="n"/>
      <c r="F57" s="149" t="n"/>
      <c r="G57" s="151">
        <f>IFERROR(E57*(1-D57)/C57,0)</f>
        <v/>
      </c>
      <c r="H57" s="149" t="n"/>
      <c r="I57" s="149" t="n"/>
      <c r="J57" s="149" t="n"/>
      <c r="K57" s="149" t="n"/>
      <c r="L57" s="149" t="n"/>
      <c r="M57" s="149" t="n"/>
      <c r="N57" s="149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</row>
    <row r="58">
      <c r="A58" s="7" t="n"/>
      <c r="B58" s="149" t="n"/>
      <c r="C58" s="149" t="n"/>
      <c r="D58" s="12" t="n"/>
      <c r="E58" s="149" t="n"/>
      <c r="F58" s="149" t="n"/>
      <c r="G58" s="151">
        <f>IFERROR(E58*(1-D58)/C58,0)</f>
        <v/>
      </c>
      <c r="H58" s="149" t="n"/>
      <c r="I58" s="149" t="n"/>
      <c r="J58" s="149" t="n"/>
      <c r="K58" s="149" t="n"/>
      <c r="L58" s="149" t="n"/>
      <c r="M58" s="149" t="n"/>
      <c r="N58" s="149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</row>
    <row r="59">
      <c r="A59" s="7" t="n"/>
      <c r="B59" s="149" t="n"/>
      <c r="C59" s="149" t="n"/>
      <c r="D59" s="12" t="n"/>
      <c r="E59" s="149" t="n"/>
      <c r="F59" s="149" t="n"/>
      <c r="G59" s="151">
        <f>IFERROR(E59*(1-D59)/C59,0)</f>
        <v/>
      </c>
      <c r="H59" s="149" t="n"/>
      <c r="I59" s="149" t="n"/>
      <c r="J59" s="149" t="n"/>
      <c r="K59" s="149" t="n"/>
      <c r="L59" s="149" t="n"/>
      <c r="M59" s="149" t="n"/>
      <c r="N59" s="149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</row>
    <row r="60">
      <c r="A60" s="136" t="inlineStr">
        <is>
          <t>摊销合计</t>
        </is>
      </c>
      <c r="B60" s="171" t="n"/>
      <c r="C60" s="171" t="n"/>
      <c r="D60" s="171" t="n"/>
      <c r="E60" s="150">
        <f>E35+E52+E56</f>
        <v/>
      </c>
      <c r="F60" s="150">
        <f>F35+F52+F56</f>
        <v/>
      </c>
      <c r="G60" s="150">
        <f>G35+G52+G56</f>
        <v/>
      </c>
      <c r="H60" s="150">
        <f>H35+H52+H56</f>
        <v/>
      </c>
      <c r="I60" s="150">
        <f>I35+I52+I56</f>
        <v/>
      </c>
      <c r="J60" s="150">
        <f>J35+J52+J56</f>
        <v/>
      </c>
      <c r="K60" s="150">
        <f>K35+K52+K56</f>
        <v/>
      </c>
      <c r="L60" s="150">
        <f>L35+L52+L56</f>
        <v/>
      </c>
      <c r="M60" s="150">
        <f>M35+M52+M56</f>
        <v/>
      </c>
      <c r="N60" s="150">
        <f>N35+N52+N56</f>
        <v/>
      </c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N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  <c r="AN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N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N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N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N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  <c r="AN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N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N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N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N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N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N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  <c r="AN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2">
    <mergeCell ref="A2:N2"/>
    <mergeCell ref="A1:N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M230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M8" sqref="M8"/>
    </sheetView>
  </sheetViews>
  <sheetFormatPr baseColWidth="8" defaultColWidth="9.109375" defaultRowHeight="14.4"/>
  <cols>
    <col width="35" customWidth="1" style="1" min="1" max="1"/>
    <col width="15" customWidth="1" style="1" min="2" max="2"/>
    <col hidden="1" width="15" customWidth="1" style="1" min="3" max="6"/>
    <col width="15" customWidth="1" style="1" min="7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资本性支出分析预测表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121" t="inlineStr">
        <is>
          <t>类别</t>
        </is>
      </c>
      <c r="B4" s="121" t="inlineStr">
        <is>
          <t>项目</t>
        </is>
      </c>
      <c r="C4" s="121" t="inlineStr">
        <is>
          <t>历史数据</t>
        </is>
      </c>
      <c r="D4" s="154" t="n"/>
      <c r="E4" s="154" t="n"/>
      <c r="F4" s="155" t="n"/>
      <c r="G4" s="124" t="inlineStr">
        <is>
          <t>未来预测</t>
        </is>
      </c>
      <c r="H4" s="154" t="n"/>
      <c r="I4" s="154" t="n"/>
      <c r="J4" s="154" t="n"/>
      <c r="K4" s="154" t="n"/>
      <c r="L4" s="154" t="n"/>
      <c r="M4" s="15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47" t="n"/>
      <c r="B5" s="147" t="n"/>
      <c r="C5" s="121" t="inlineStr">
        <is>
          <t>2022年度</t>
        </is>
      </c>
      <c r="D5" s="121" t="inlineStr">
        <is>
          <t>2023年度</t>
        </is>
      </c>
      <c r="E5" s="121" t="inlineStr">
        <is>
          <t>2024年度</t>
        </is>
      </c>
      <c r="F5" s="121" t="inlineStr">
        <is>
          <t>2025年1-6月</t>
        </is>
      </c>
      <c r="G5" s="124" t="inlineStr">
        <is>
          <t>2025年7-12月</t>
        </is>
      </c>
      <c r="H5" s="124" t="inlineStr">
        <is>
          <t>2026年度</t>
        </is>
      </c>
      <c r="I5" s="124" t="inlineStr">
        <is>
          <t>2027年度</t>
        </is>
      </c>
      <c r="J5" s="124" t="inlineStr">
        <is>
          <t>2028年度</t>
        </is>
      </c>
      <c r="K5" s="124" t="inlineStr">
        <is>
          <t>2029年度</t>
        </is>
      </c>
      <c r="L5" s="124" t="inlineStr">
        <is>
          <t>2030年度</t>
        </is>
      </c>
      <c r="M5" s="124" t="inlineStr">
        <is>
          <t>永续年度</t>
        </is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22" t="inlineStr">
        <is>
          <t>存量资产更新：</t>
        </is>
      </c>
      <c r="B6" s="148" t="n"/>
      <c r="C6" s="148" t="n"/>
      <c r="D6" s="148" t="n"/>
      <c r="E6" s="148" t="n"/>
      <c r="F6" s="148" t="n"/>
      <c r="G6" s="148" t="n"/>
      <c r="H6" s="148" t="n"/>
      <c r="I6" s="148" t="n"/>
      <c r="J6" s="148" t="n"/>
      <c r="K6" s="148" t="n"/>
      <c r="L6" s="148" t="n"/>
      <c r="M6" s="148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7" t="n"/>
      <c r="B7" s="172" t="inlineStr">
        <is>
          <t>房屋建筑物</t>
        </is>
      </c>
      <c r="C7" s="149" t="n"/>
      <c r="D7" s="149" t="n"/>
      <c r="E7" s="149" t="n"/>
      <c r="F7" s="149" t="n"/>
      <c r="G7" s="149" t="n"/>
      <c r="H7" s="149" t="n"/>
      <c r="I7" s="149" t="n"/>
      <c r="J7" s="149" t="n"/>
      <c r="K7" s="149" t="n"/>
      <c r="L7" s="149" t="n"/>
      <c r="M7" s="149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7" t="n"/>
      <c r="B8" s="172" t="inlineStr">
        <is>
          <t>机器设备</t>
        </is>
      </c>
      <c r="C8" s="149" t="n"/>
      <c r="D8" s="149" t="n"/>
      <c r="E8" s="149" t="n"/>
      <c r="F8" s="149" t="n"/>
      <c r="G8" s="149" t="n"/>
      <c r="H8" s="149" t="n"/>
      <c r="I8" s="149" t="n"/>
      <c r="J8" s="149" t="n"/>
      <c r="K8" s="149" t="n"/>
      <c r="L8" s="149" t="n"/>
      <c r="M8" s="149">
        <f>折旧摊销、资本性支出表!M17</f>
        <v/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7" t="n"/>
      <c r="B9" s="172" t="inlineStr">
        <is>
          <t>运输设备</t>
        </is>
      </c>
      <c r="C9" s="149" t="n"/>
      <c r="D9" s="149" t="n"/>
      <c r="E9" s="149" t="n"/>
      <c r="F9" s="149" t="n"/>
      <c r="G9" s="149" t="n"/>
      <c r="H9" s="149" t="n"/>
      <c r="I9" s="149" t="n"/>
      <c r="J9" s="149" t="n"/>
      <c r="K9" s="149" t="n"/>
      <c r="L9" s="149" t="n"/>
      <c r="M9" s="149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7" t="n"/>
      <c r="B10" s="172" t="inlineStr">
        <is>
          <t>电子设备和其他设备</t>
        </is>
      </c>
      <c r="C10" s="149" t="n"/>
      <c r="D10" s="149" t="n"/>
      <c r="E10" s="149" t="n"/>
      <c r="F10" s="149" t="n"/>
      <c r="G10" s="149" t="n"/>
      <c r="H10" s="149" t="n"/>
      <c r="I10" s="149" t="n"/>
      <c r="J10" s="149" t="n"/>
      <c r="K10" s="149" t="n"/>
      <c r="L10" s="149" t="n"/>
      <c r="M10" s="149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7" t="n"/>
      <c r="B11" s="172" t="inlineStr">
        <is>
          <t>存量无形资产及其它资产</t>
        </is>
      </c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7" t="n"/>
      <c r="B12" s="172" t="inlineStr">
        <is>
          <t>存量长期待摊费用</t>
        </is>
      </c>
      <c r="C12" s="149" t="n"/>
      <c r="D12" s="149" t="n"/>
      <c r="E12" s="149" t="n"/>
      <c r="F12" s="149" t="n"/>
      <c r="G12" s="149" t="n"/>
      <c r="H12" s="149" t="n"/>
      <c r="I12" s="149" t="n"/>
      <c r="J12" s="149" t="n"/>
      <c r="K12" s="149" t="n"/>
      <c r="L12" s="149" t="n"/>
      <c r="M12" s="149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7" t="n"/>
      <c r="B13" s="149" t="n"/>
      <c r="C13" s="149" t="n"/>
      <c r="D13" s="149" t="n"/>
      <c r="E13" s="149" t="n"/>
      <c r="F13" s="149" t="n"/>
      <c r="G13" s="149" t="n"/>
      <c r="H13" s="149" t="n"/>
      <c r="I13" s="149" t="n"/>
      <c r="J13" s="149" t="n"/>
      <c r="K13" s="149" t="n"/>
      <c r="L13" s="149" t="n"/>
      <c r="M13" s="149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14" t="n"/>
      <c r="B14" s="173" t="inlineStr">
        <is>
          <t>存量资产更新合计</t>
        </is>
      </c>
      <c r="C14" s="153" t="n"/>
      <c r="D14" s="153" t="n"/>
      <c r="E14" s="153" t="n"/>
      <c r="F14" s="153" t="n"/>
      <c r="G14" s="150">
        <f>SUM(G7:G13)</f>
        <v/>
      </c>
      <c r="H14" s="150">
        <f>SUM(H7:H13)</f>
        <v/>
      </c>
      <c r="I14" s="150">
        <f>SUM(I7:I13)</f>
        <v/>
      </c>
      <c r="J14" s="150">
        <f>SUM(J7:J13)</f>
        <v/>
      </c>
      <c r="K14" s="150">
        <f>SUM(K7:K13)</f>
        <v/>
      </c>
      <c r="L14" s="150">
        <f>SUM(L7:L13)</f>
        <v/>
      </c>
      <c r="M14" s="150">
        <f>SUM(M7:M13)</f>
        <v/>
      </c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122" t="inlineStr">
        <is>
          <t>在建工程后续支出：</t>
        </is>
      </c>
      <c r="B15" s="148" t="n"/>
      <c r="C15" s="148" t="n"/>
      <c r="D15" s="148" t="n"/>
      <c r="E15" s="148" t="n"/>
      <c r="F15" s="148" t="n"/>
      <c r="G15" s="148" t="n"/>
      <c r="H15" s="148" t="n"/>
      <c r="I15" s="148" t="n"/>
      <c r="J15" s="148" t="n"/>
      <c r="K15" s="148" t="n"/>
      <c r="L15" s="148" t="n"/>
      <c r="M15" s="148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7" t="n"/>
      <c r="B16" s="172" t="inlineStr">
        <is>
          <t>在建工程--土建后续支出</t>
        </is>
      </c>
      <c r="C16" s="149" t="n"/>
      <c r="D16" s="149" t="n"/>
      <c r="E16" s="149" t="n"/>
      <c r="F16" s="149" t="n"/>
      <c r="G16" s="149" t="n"/>
      <c r="H16" s="149" t="n"/>
      <c r="I16" s="149" t="n"/>
      <c r="J16" s="149" t="n"/>
      <c r="K16" s="149" t="n"/>
      <c r="L16" s="149" t="n"/>
      <c r="M16" s="149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7" t="n"/>
      <c r="B17" s="172" t="inlineStr">
        <is>
          <t>在建工程--设备后续支出</t>
        </is>
      </c>
      <c r="C17" s="149" t="n"/>
      <c r="D17" s="149" t="n"/>
      <c r="E17" s="149" t="n"/>
      <c r="F17" s="149" t="n"/>
      <c r="G17" s="149" t="n"/>
      <c r="H17" s="149" t="n"/>
      <c r="I17" s="149" t="n"/>
      <c r="J17" s="149" t="n"/>
      <c r="K17" s="149" t="n"/>
      <c r="L17" s="149" t="n"/>
      <c r="M17" s="149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7" t="n"/>
      <c r="B18" s="149" t="n"/>
      <c r="C18" s="149" t="n"/>
      <c r="D18" s="149" t="n"/>
      <c r="E18" s="149" t="n"/>
      <c r="F18" s="149" t="n"/>
      <c r="G18" s="149" t="n"/>
      <c r="H18" s="149" t="n"/>
      <c r="I18" s="149" t="n"/>
      <c r="J18" s="149" t="n"/>
      <c r="K18" s="149" t="n"/>
      <c r="L18" s="149" t="n"/>
      <c r="M18" s="149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14" t="n"/>
      <c r="B19" s="173" t="inlineStr">
        <is>
          <t>在建工程后续支出合计</t>
        </is>
      </c>
      <c r="C19" s="153" t="n"/>
      <c r="D19" s="153" t="n"/>
      <c r="E19" s="153" t="n"/>
      <c r="F19" s="153" t="n"/>
      <c r="G19" s="150">
        <f>SUM(G16:G18)</f>
        <v/>
      </c>
      <c r="H19" s="150">
        <f>SUM(H16:H18)</f>
        <v/>
      </c>
      <c r="I19" s="150">
        <f>SUM(I16:I18)</f>
        <v/>
      </c>
      <c r="J19" s="150">
        <f>SUM(J16:J18)</f>
        <v/>
      </c>
      <c r="K19" s="150">
        <f>SUM(K16:K18)</f>
        <v/>
      </c>
      <c r="L19" s="150">
        <f>SUM(L16:L18)</f>
        <v/>
      </c>
      <c r="M19" s="150">
        <f>SUM(M16:M18)</f>
        <v/>
      </c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122" t="inlineStr">
        <is>
          <t>新增资产（改良、改造、扩产）：</t>
        </is>
      </c>
      <c r="B20" s="148" t="n"/>
      <c r="C20" s="148" t="n"/>
      <c r="D20" s="148" t="n"/>
      <c r="E20" s="148" t="n"/>
      <c r="F20" s="148" t="n"/>
      <c r="G20" s="148" t="n"/>
      <c r="H20" s="148" t="n"/>
      <c r="I20" s="148" t="n"/>
      <c r="J20" s="148" t="n"/>
      <c r="K20" s="148" t="n"/>
      <c r="L20" s="148" t="n"/>
      <c r="M20" s="148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7" t="n"/>
      <c r="B21" s="149" t="n"/>
      <c r="C21" s="149" t="n"/>
      <c r="D21" s="149" t="n"/>
      <c r="E21" s="149" t="n"/>
      <c r="F21" s="149" t="n"/>
      <c r="G21" s="149" t="n"/>
      <c r="H21" s="149" t="n"/>
      <c r="I21" s="149" t="n"/>
      <c r="J21" s="149" t="n"/>
      <c r="K21" s="149" t="n"/>
      <c r="L21" s="149" t="n"/>
      <c r="M21" s="149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7" t="n"/>
      <c r="B22" s="149" t="n"/>
      <c r="C22" s="149" t="n"/>
      <c r="D22" s="149" t="n"/>
      <c r="E22" s="149" t="n"/>
      <c r="F22" s="149" t="n"/>
      <c r="G22" s="149" t="n"/>
      <c r="H22" s="149" t="n"/>
      <c r="I22" s="149" t="n"/>
      <c r="J22" s="149" t="n"/>
      <c r="K22" s="149" t="n"/>
      <c r="L22" s="149" t="n"/>
      <c r="M22" s="149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7" t="n"/>
      <c r="B23" s="149" t="n"/>
      <c r="C23" s="149" t="n"/>
      <c r="D23" s="149" t="n"/>
      <c r="E23" s="149" t="n"/>
      <c r="F23" s="149" t="n"/>
      <c r="G23" s="149" t="n"/>
      <c r="H23" s="149" t="n"/>
      <c r="I23" s="149" t="n"/>
      <c r="J23" s="149" t="n"/>
      <c r="K23" s="149" t="n"/>
      <c r="L23" s="149" t="n"/>
      <c r="M23" s="149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14" t="n"/>
      <c r="B24" s="173" t="inlineStr">
        <is>
          <t>新增资产合计</t>
        </is>
      </c>
      <c r="C24" s="153" t="n"/>
      <c r="D24" s="153" t="n"/>
      <c r="E24" s="153" t="n"/>
      <c r="F24" s="153" t="n"/>
      <c r="G24" s="150">
        <f>SUM(G21:G23)</f>
        <v/>
      </c>
      <c r="H24" s="150">
        <f>SUM(H21:H23)</f>
        <v/>
      </c>
      <c r="I24" s="150">
        <f>SUM(I21:I23)</f>
        <v/>
      </c>
      <c r="J24" s="150">
        <f>SUM(J21:J23)</f>
        <v/>
      </c>
      <c r="K24" s="150">
        <f>SUM(K21:K23)</f>
        <v/>
      </c>
      <c r="L24" s="150">
        <f>SUM(L21:L23)</f>
        <v/>
      </c>
      <c r="M24" s="150">
        <f>SUM(M21:M23)</f>
        <v/>
      </c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122" t="inlineStr">
        <is>
          <t>新增资产更新：</t>
        </is>
      </c>
      <c r="B25" s="148" t="n"/>
      <c r="C25" s="148" t="n"/>
      <c r="D25" s="148" t="n"/>
      <c r="E25" s="148" t="n"/>
      <c r="F25" s="148" t="n"/>
      <c r="G25" s="148" t="n"/>
      <c r="H25" s="148" t="n"/>
      <c r="I25" s="148" t="n"/>
      <c r="J25" s="148" t="n"/>
      <c r="K25" s="148" t="n"/>
      <c r="L25" s="148" t="n"/>
      <c r="M25" s="148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7" t="n"/>
      <c r="B26" s="149" t="n"/>
      <c r="C26" s="149" t="n"/>
      <c r="D26" s="149" t="n"/>
      <c r="E26" s="149" t="n"/>
      <c r="F26" s="149" t="n"/>
      <c r="G26" s="149" t="n"/>
      <c r="H26" s="149" t="n"/>
      <c r="I26" s="149" t="n"/>
      <c r="J26" s="149" t="n"/>
      <c r="K26" s="149" t="n"/>
      <c r="L26" s="149" t="n"/>
      <c r="M26" s="149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7" t="n"/>
      <c r="B27" s="149" t="n"/>
      <c r="C27" s="149" t="n"/>
      <c r="D27" s="149" t="n"/>
      <c r="E27" s="149" t="n"/>
      <c r="F27" s="149" t="n"/>
      <c r="G27" s="149" t="n"/>
      <c r="H27" s="149" t="n"/>
      <c r="I27" s="149" t="n"/>
      <c r="J27" s="149" t="n"/>
      <c r="K27" s="149" t="n"/>
      <c r="L27" s="149" t="n"/>
      <c r="M27" s="149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7" t="n"/>
      <c r="B28" s="149" t="n"/>
      <c r="C28" s="149" t="n"/>
      <c r="D28" s="149" t="n"/>
      <c r="E28" s="149" t="n"/>
      <c r="F28" s="149" t="n"/>
      <c r="G28" s="149" t="n"/>
      <c r="H28" s="149" t="n"/>
      <c r="I28" s="149" t="n"/>
      <c r="J28" s="149" t="n"/>
      <c r="K28" s="149" t="n"/>
      <c r="L28" s="149" t="n"/>
      <c r="M28" s="149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14" t="n"/>
      <c r="B29" s="173" t="inlineStr">
        <is>
          <t>新增资产更新合计</t>
        </is>
      </c>
      <c r="C29" s="153" t="n"/>
      <c r="D29" s="153" t="n"/>
      <c r="E29" s="153" t="n"/>
      <c r="F29" s="153" t="n"/>
      <c r="G29" s="150">
        <f>SUM(G26:G28)</f>
        <v/>
      </c>
      <c r="H29" s="150">
        <f>SUM(H26:H28)</f>
        <v/>
      </c>
      <c r="I29" s="150">
        <f>SUM(I26:I28)</f>
        <v/>
      </c>
      <c r="J29" s="150">
        <f>SUM(J26:J28)</f>
        <v/>
      </c>
      <c r="K29" s="150">
        <f>SUM(K26:K28)</f>
        <v/>
      </c>
      <c r="L29" s="150">
        <f>SUM(L26:L28)</f>
        <v/>
      </c>
      <c r="M29" s="150">
        <f>SUM(M26:M28)</f>
        <v/>
      </c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136" t="inlineStr">
        <is>
          <t>合计</t>
        </is>
      </c>
      <c r="B30" s="171" t="n"/>
      <c r="C30" s="153" t="n"/>
      <c r="D30" s="153" t="n"/>
      <c r="E30" s="153" t="n"/>
      <c r="F30" s="153" t="n"/>
      <c r="G30" s="150">
        <f>G14+G19+G24+G29</f>
        <v/>
      </c>
      <c r="H30" s="150">
        <f>H14+H19+H24+H29</f>
        <v/>
      </c>
      <c r="I30" s="150">
        <f>I14+I19+I24+I29</f>
        <v/>
      </c>
      <c r="J30" s="150">
        <f>J14+J19+J24+J29</f>
        <v/>
      </c>
      <c r="K30" s="150">
        <f>K14+K19+K24+K29</f>
        <v/>
      </c>
      <c r="L30" s="150">
        <f>L14+L19+L24+L29</f>
        <v/>
      </c>
      <c r="M30" s="150">
        <f>M14+M19+M24+M29</f>
        <v/>
      </c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6">
    <mergeCell ref="B4:B5"/>
    <mergeCell ref="A1:M1"/>
    <mergeCell ref="C4:F4"/>
    <mergeCell ref="A4:A5"/>
    <mergeCell ref="G4:M4"/>
    <mergeCell ref="A2:M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M281"/>
  <sheetViews>
    <sheetView workbookViewId="0">
      <pane xSplit="1" ySplit="6" topLeftCell="E70" activePane="bottomRight" state="frozen"/>
      <selection pane="topRight" activeCell="A1" sqref="A1"/>
      <selection pane="bottomLeft" activeCell="A1" sqref="A1"/>
      <selection pane="bottomRight" activeCell="G77" sqref="G77"/>
    </sheetView>
  </sheetViews>
  <sheetFormatPr baseColWidth="8" defaultColWidth="9.109375" defaultRowHeight="14.4"/>
  <cols>
    <col width="35" customWidth="1" style="1" min="1" max="1"/>
    <col hidden="1" width="15" customWidth="1" style="1" min="2" max="2"/>
    <col width="15" customWidth="1" style="1" min="3" max="13"/>
    <col width="9.109375" customWidth="1" style="1" min="14" max="14"/>
    <col width="9.109375" customWidth="1" style="1" min="15" max="16384"/>
  </cols>
  <sheetData>
    <row r="1" ht="17.4" customHeight="1">
      <c r="A1" s="119" t="inlineStr">
        <is>
          <t>营运资金计算表</t>
        </is>
      </c>
      <c r="N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M3" s="3">
        <f>"金额单位："&amp;项目信息!B8&amp;""</f>
        <v/>
      </c>
    </row>
    <row r="4">
      <c r="A4" s="5" t="inlineStr">
        <is>
          <t>一、周转率计算表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</row>
    <row r="5">
      <c r="A5" s="121" t="inlineStr">
        <is>
          <t>周转率</t>
        </is>
      </c>
      <c r="B5" s="121" t="n"/>
      <c r="C5" s="121" t="inlineStr">
        <is>
          <t>历史数据</t>
        </is>
      </c>
      <c r="D5" s="154" t="n"/>
      <c r="E5" s="154" t="n"/>
      <c r="F5" s="155" t="n"/>
      <c r="G5" s="124" t="inlineStr">
        <is>
          <t>未来预测</t>
        </is>
      </c>
      <c r="H5" s="154" t="n"/>
      <c r="I5" s="154" t="n"/>
      <c r="J5" s="154" t="n"/>
      <c r="K5" s="154" t="n"/>
      <c r="L5" s="154" t="n"/>
      <c r="M5" s="15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</row>
    <row r="6">
      <c r="A6" s="147" t="n"/>
      <c r="B6" s="147" t="n"/>
      <c r="C6" s="121" t="inlineStr">
        <is>
          <t>2022年度</t>
        </is>
      </c>
      <c r="D6" s="121" t="inlineStr">
        <is>
          <t>2023年度</t>
        </is>
      </c>
      <c r="E6" s="121" t="inlineStr">
        <is>
          <t>2024年度</t>
        </is>
      </c>
      <c r="F6" s="121" t="inlineStr">
        <is>
          <t>2025年1-6月</t>
        </is>
      </c>
      <c r="G6" s="124" t="inlineStr">
        <is>
          <t>2025年7-12月</t>
        </is>
      </c>
      <c r="H6" s="124" t="inlineStr">
        <is>
          <t>2026年度</t>
        </is>
      </c>
      <c r="I6" s="124" t="inlineStr">
        <is>
          <t>2027年度</t>
        </is>
      </c>
      <c r="J6" s="124" t="inlineStr">
        <is>
          <t>2028年度</t>
        </is>
      </c>
      <c r="K6" s="124" t="inlineStr">
        <is>
          <t>2029年度</t>
        </is>
      </c>
      <c r="L6" s="124" t="inlineStr">
        <is>
          <t>2030年度</t>
        </is>
      </c>
      <c r="M6" s="124" t="inlineStr">
        <is>
          <t>永续年度</t>
        </is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</row>
    <row r="7">
      <c r="A7" s="122" t="inlineStr">
        <is>
          <t xml:space="preserve"> 最低现金保有量</t>
        </is>
      </c>
      <c r="B7" s="135" t="n"/>
      <c r="C7" s="149" t="n"/>
      <c r="D7" s="149" t="n"/>
      <c r="E7" s="149" t="n"/>
      <c r="F7" s="149" t="n"/>
      <c r="G7" s="149" t="n"/>
      <c r="H7" s="149" t="n"/>
      <c r="I7" s="149" t="n"/>
      <c r="J7" s="149" t="n"/>
      <c r="K7" s="149" t="n"/>
      <c r="L7" s="149" t="n"/>
      <c r="M7" s="149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</row>
    <row r="8">
      <c r="A8" s="122" t="inlineStr">
        <is>
          <t xml:space="preserve"> 受限货币资金（如应付票据保证金）</t>
        </is>
      </c>
      <c r="B8" s="135" t="n"/>
      <c r="C8" s="149" t="n"/>
      <c r="D8" s="149" t="n"/>
      <c r="E8" s="149" t="n"/>
      <c r="F8" s="149" t="n"/>
      <c r="G8" s="149" t="n"/>
      <c r="H8" s="149" t="n"/>
      <c r="I8" s="149" t="n"/>
      <c r="J8" s="149" t="n"/>
      <c r="K8" s="149" t="n"/>
      <c r="L8" s="149" t="n"/>
      <c r="M8" s="149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</row>
    <row r="9">
      <c r="A9" s="122" t="inlineStr">
        <is>
          <t>A应收款项</t>
        </is>
      </c>
      <c r="B9" s="135" t="n"/>
      <c r="C9" s="151">
        <f>ROUND(历利调整后表!D7/(历资调整后表!D12+历资调整后表!D13+历资调整后表!D14+历资调整后表!D22-历资调整后表!D56-历资调整后表!D57-历资调整后表!D69),2)</f>
        <v/>
      </c>
      <c r="D9" s="151">
        <f>ROUND(历利调整后表!G7/(历资调整后表!G12+历资调整后表!G13+历资调整后表!G14+历资调整后表!G22-历资调整后表!G56-历资调整后表!G57-历资调整后表!G69),2)</f>
        <v/>
      </c>
      <c r="E9" s="151">
        <f>ROUND(历利调整后表!J7/(历资调整后表!J12+历资调整后表!J13+历资调整后表!J14+历资调整后表!J22-历资调整后表!J56-历资调整后表!J57-历资调整后表!J69),2)</f>
        <v/>
      </c>
      <c r="F9" s="151">
        <f>ROUND((历利调整后表!M7/6*12)/(历资调整后表!M12+历资调整后表!M13+历资调整后表!M14+历资调整后表!M22-历资调整后表!M56-历资调整后表!M57-历资调整后表!M69),2)</f>
        <v/>
      </c>
      <c r="G9" s="149" t="n"/>
      <c r="H9" s="149">
        <f>G9</f>
        <v/>
      </c>
      <c r="I9" s="149">
        <f>H9</f>
        <v/>
      </c>
      <c r="J9" s="149">
        <f>I9</f>
        <v/>
      </c>
      <c r="K9" s="149">
        <f>J9</f>
        <v/>
      </c>
      <c r="L9" s="149">
        <f>K9</f>
        <v/>
      </c>
      <c r="M9" s="149">
        <f>L9</f>
        <v/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</row>
    <row r="10">
      <c r="A10" s="122" t="inlineStr">
        <is>
          <t>a应收票据</t>
        </is>
      </c>
      <c r="B10" s="135" t="n"/>
      <c r="C10" s="151">
        <f>ROUND(历利调整后表!D7/历资调整后表!D12,2)</f>
        <v/>
      </c>
      <c r="D10" s="151">
        <f>ROUND(历利调整后表!G7/历资调整后表!G12,2)</f>
        <v/>
      </c>
      <c r="E10" s="151">
        <f>ROUND(历利调整后表!J7/历资调整后表!J12,2)</f>
        <v/>
      </c>
      <c r="F10" s="151">
        <f>ROUND((历利调整后表!M7/6*12)/历资调整后表!M12,2)</f>
        <v/>
      </c>
      <c r="G10" s="149" t="n"/>
      <c r="H10" s="149" t="n"/>
      <c r="I10" s="149" t="n"/>
      <c r="J10" s="149" t="n"/>
      <c r="K10" s="149" t="n"/>
      <c r="L10" s="149" t="n"/>
      <c r="M10" s="149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</row>
    <row r="11">
      <c r="A11" s="122" t="inlineStr">
        <is>
          <t>a应收账款</t>
        </is>
      </c>
      <c r="B11" s="135" t="n"/>
      <c r="C11" s="151">
        <f>ROUND(历利调整后表!D7/历资调整后表!D13,2)</f>
        <v/>
      </c>
      <c r="D11" s="151">
        <f>ROUND(历利调整后表!G7/历资调整后表!G13,2)</f>
        <v/>
      </c>
      <c r="E11" s="151">
        <f>ROUND(历利调整后表!J7/历资调整后表!J13,2)</f>
        <v/>
      </c>
      <c r="F11" s="151">
        <f>ROUND((历利调整后表!M7/6*12)/历资调整后表!M13,2)</f>
        <v/>
      </c>
      <c r="G11" s="149" t="n"/>
      <c r="H11" s="149" t="n"/>
      <c r="I11" s="149" t="n"/>
      <c r="J11" s="149" t="n"/>
      <c r="K11" s="149" t="n"/>
      <c r="L11" s="149" t="n"/>
      <c r="M11" s="149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</row>
    <row r="12">
      <c r="A12" s="122" t="inlineStr">
        <is>
          <t>a应收款项融资</t>
        </is>
      </c>
      <c r="B12" s="135" t="n"/>
      <c r="C12" s="151">
        <f>ROUND(历利调整后表!D7/历资调整后表!D14,2)</f>
        <v/>
      </c>
      <c r="D12" s="151">
        <f>ROUND(历利调整后表!G7/历资调整后表!G14,2)</f>
        <v/>
      </c>
      <c r="E12" s="151">
        <f>ROUND(历利调整后表!J7/历资调整后表!J14,2)</f>
        <v/>
      </c>
      <c r="F12" s="151">
        <f>ROUND((历利调整后表!M7/6*12)/历资调整后表!M14,2)</f>
        <v/>
      </c>
      <c r="G12" s="149" t="n"/>
      <c r="H12" s="149" t="n"/>
      <c r="I12" s="149" t="n"/>
      <c r="J12" s="149" t="n"/>
      <c r="K12" s="149" t="n"/>
      <c r="L12" s="149" t="n"/>
      <c r="M12" s="149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</row>
    <row r="13">
      <c r="A13" s="122" t="inlineStr">
        <is>
          <t>a合同资产</t>
        </is>
      </c>
      <c r="B13" s="135" t="n"/>
      <c r="C13" s="151">
        <f>ROUND(历利调整后表!D7/历资调整后表!D22,2)</f>
        <v/>
      </c>
      <c r="D13" s="151">
        <f>ROUND(历利调整后表!G7/历资调整后表!G22,2)</f>
        <v/>
      </c>
      <c r="E13" s="151">
        <f>ROUND(历利调整后表!J7/历资调整后表!J22,2)</f>
        <v/>
      </c>
      <c r="F13" s="151">
        <f>ROUND((历利调整后表!M7/6*12)/历资调整后表!M22,2)</f>
        <v/>
      </c>
      <c r="G13" s="149" t="n"/>
      <c r="H13" s="149" t="n"/>
      <c r="I13" s="149" t="n"/>
      <c r="J13" s="149" t="n"/>
      <c r="K13" s="149" t="n"/>
      <c r="L13" s="149" t="n"/>
      <c r="M13" s="149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</row>
    <row r="14">
      <c r="A14" s="122" t="inlineStr">
        <is>
          <t>b预付款项</t>
        </is>
      </c>
      <c r="B14" s="135" t="n"/>
      <c r="C14" s="151">
        <f>ROUND(历利调整后表!D14/历资调整后表!D15,2)</f>
        <v/>
      </c>
      <c r="D14" s="151">
        <f>ROUND(历利调整后表!G14/历资调整后表!G15,2)</f>
        <v/>
      </c>
      <c r="E14" s="151">
        <f>ROUND(历利调整后表!J14/历资调整后表!J15,2)</f>
        <v/>
      </c>
      <c r="F14" s="151">
        <f>ROUND((历利调整后表!M14/6*12)/历资调整后表!M15,2)</f>
        <v/>
      </c>
      <c r="G14" s="149" t="n"/>
      <c r="H14" s="149" t="n"/>
      <c r="I14" s="149" t="n"/>
      <c r="J14" s="149" t="n"/>
      <c r="K14" s="149" t="n"/>
      <c r="L14" s="149" t="n"/>
      <c r="M14" s="149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</row>
    <row r="15">
      <c r="A15" s="122" t="inlineStr">
        <is>
          <t xml:space="preserve"> 其他应收款（经营性）</t>
        </is>
      </c>
      <c r="B15" s="135" t="n"/>
      <c r="C15" s="149" t="n"/>
      <c r="D15" s="149" t="n"/>
      <c r="E15" s="149" t="n"/>
      <c r="F15" s="149" t="n"/>
      <c r="G15" s="149" t="n"/>
      <c r="H15" s="149" t="n"/>
      <c r="I15" s="149" t="n"/>
      <c r="J15" s="149" t="n"/>
      <c r="K15" s="149" t="n"/>
      <c r="L15" s="149" t="n"/>
      <c r="M15" s="149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</row>
    <row r="16">
      <c r="A16" s="122" t="inlineStr">
        <is>
          <t xml:space="preserve"> 存货</t>
        </is>
      </c>
      <c r="B16" s="135" t="n"/>
      <c r="C16" s="151">
        <f>ROUND(历利调整后表!D14/历资调整后表!D21,2)</f>
        <v/>
      </c>
      <c r="D16" s="151">
        <f>ROUND(历利调整后表!G14/历资调整后表!G21,2)</f>
        <v/>
      </c>
      <c r="E16" s="151">
        <f>ROUND(历利调整后表!J14/历资调整后表!J21,2)</f>
        <v/>
      </c>
      <c r="F16" s="151">
        <f>ROUND((历利调整后表!M14/6*12)/历资调整后表!M21,2)</f>
        <v/>
      </c>
      <c r="G16" s="149" t="n"/>
      <c r="H16" s="149">
        <f>G16</f>
        <v/>
      </c>
      <c r="I16" s="149">
        <f>H16</f>
        <v/>
      </c>
      <c r="J16" s="149">
        <f>I16</f>
        <v/>
      </c>
      <c r="K16" s="149">
        <f>J16</f>
        <v/>
      </c>
      <c r="L16" s="149">
        <f>K16</f>
        <v/>
      </c>
      <c r="M16" s="149">
        <f>L16</f>
        <v/>
      </c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</row>
    <row r="17">
      <c r="A17" s="122" t="inlineStr">
        <is>
          <t xml:space="preserve"> 其他流动资产（不含待抵扣进项税）</t>
        </is>
      </c>
      <c r="B17" s="135" t="n"/>
      <c r="C17" s="149" t="n"/>
      <c r="D17" s="149" t="n"/>
      <c r="E17" s="149" t="n"/>
      <c r="F17" s="149" t="n"/>
      <c r="G17" s="149" t="n"/>
      <c r="H17" s="149" t="n"/>
      <c r="I17" s="149" t="n"/>
      <c r="J17" s="149" t="n"/>
      <c r="K17" s="149" t="n"/>
      <c r="L17" s="149" t="n"/>
      <c r="M17" s="149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</row>
    <row r="18">
      <c r="A18" s="122" t="inlineStr">
        <is>
          <t xml:space="preserve"> 待抵扣进项税</t>
        </is>
      </c>
      <c r="B18" s="135" t="n"/>
      <c r="C18" s="149" t="n"/>
      <c r="D18" s="149" t="n"/>
      <c r="E18" s="149" t="n"/>
      <c r="F18" s="149" t="n"/>
      <c r="G18" s="149" t="n"/>
      <c r="H18" s="149" t="n"/>
      <c r="I18" s="149" t="n"/>
      <c r="J18" s="149" t="n"/>
      <c r="K18" s="149" t="n"/>
      <c r="L18" s="149" t="n"/>
      <c r="M18" s="149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</row>
    <row r="19">
      <c r="A19" s="122" t="inlineStr">
        <is>
          <t>B应付款项</t>
        </is>
      </c>
      <c r="B19" s="135" t="n"/>
      <c r="C19" s="151">
        <f>ROUND(历利调整后表!D14/(历资调整后表!D54+历资调整后表!D55-历资调整后表!D15),2)</f>
        <v/>
      </c>
      <c r="D19" s="151">
        <f>ROUND(历利调整后表!G14/(历资调整后表!G54+历资调整后表!G55-历资调整后表!G15),2)</f>
        <v/>
      </c>
      <c r="E19" s="151">
        <f>ROUND(历利调整后表!J14/(历资调整后表!J54+历资调整后表!J55-历资调整后表!J15),2)</f>
        <v/>
      </c>
      <c r="F19" s="151">
        <f>ROUND((历利调整后表!M14/6*12)/(历资调整后表!M54+历资调整后表!M55-历资调整后表!M15),2)</f>
        <v/>
      </c>
      <c r="G19" s="149" t="n"/>
      <c r="H19" s="149">
        <f>G19</f>
        <v/>
      </c>
      <c r="I19" s="149">
        <f>H19</f>
        <v/>
      </c>
      <c r="J19" s="149">
        <f>I19</f>
        <v/>
      </c>
      <c r="K19" s="149">
        <f>J19</f>
        <v/>
      </c>
      <c r="L19" s="149">
        <f>K19</f>
        <v/>
      </c>
      <c r="M19" s="149">
        <f>L19</f>
        <v/>
      </c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</row>
    <row r="20">
      <c r="A20" s="122" t="inlineStr">
        <is>
          <t>b应付票据</t>
        </is>
      </c>
      <c r="B20" s="135" t="n"/>
      <c r="C20" s="151">
        <f>ROUND(历利调整后表!D14/历资调整后表!D54,2)</f>
        <v/>
      </c>
      <c r="D20" s="151">
        <f>ROUND(历利调整后表!G14/历资调整后表!G54,2)</f>
        <v/>
      </c>
      <c r="E20" s="151">
        <f>ROUND(历利调整后表!J14/历资调整后表!J54,2)</f>
        <v/>
      </c>
      <c r="F20" s="151">
        <f>ROUND((历利调整后表!M14/6*12)/历资调整后表!M54,2)</f>
        <v/>
      </c>
      <c r="G20" s="149" t="n"/>
      <c r="H20" s="149" t="n"/>
      <c r="I20" s="149" t="n"/>
      <c r="J20" s="149" t="n"/>
      <c r="K20" s="149" t="n"/>
      <c r="L20" s="149" t="n"/>
      <c r="M20" s="149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</row>
    <row r="21">
      <c r="A21" s="122" t="inlineStr">
        <is>
          <t>b应付账款</t>
        </is>
      </c>
      <c r="B21" s="135" t="n"/>
      <c r="C21" s="151">
        <f>ROUND(历利调整后表!D14/历资调整后表!D55,2)</f>
        <v/>
      </c>
      <c r="D21" s="151">
        <f>ROUND(历利调整后表!G14/历资调整后表!G55,2)</f>
        <v/>
      </c>
      <c r="E21" s="151">
        <f>ROUND(历利调整后表!J14/历资调整后表!J55,2)</f>
        <v/>
      </c>
      <c r="F21" s="151">
        <f>ROUND((历利调整后表!M14/6*12)/历资调整后表!M55,2)</f>
        <v/>
      </c>
      <c r="G21" s="149" t="n"/>
      <c r="H21" s="149" t="n"/>
      <c r="I21" s="149" t="n"/>
      <c r="J21" s="149" t="n"/>
      <c r="K21" s="149" t="n"/>
      <c r="L21" s="149" t="n"/>
      <c r="M21" s="149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</row>
    <row r="22">
      <c r="A22" s="122" t="inlineStr">
        <is>
          <t>a预收款项</t>
        </is>
      </c>
      <c r="B22" s="135" t="n"/>
      <c r="C22" s="151">
        <f>ROUND(历利调整后表!D7/历资调整后表!D56,2)</f>
        <v/>
      </c>
      <c r="D22" s="151">
        <f>ROUND(历利调整后表!G7/历资调整后表!G56,2)</f>
        <v/>
      </c>
      <c r="E22" s="151">
        <f>ROUND(历利调整后表!J7/历资调整后表!J56,2)</f>
        <v/>
      </c>
      <c r="F22" s="151">
        <f>ROUND((历利调整后表!M7/6*12)/历资调整后表!M56,2)</f>
        <v/>
      </c>
      <c r="G22" s="149" t="n"/>
      <c r="H22" s="149" t="n"/>
      <c r="I22" s="149" t="n"/>
      <c r="J22" s="149" t="n"/>
      <c r="K22" s="149" t="n"/>
      <c r="L22" s="149" t="n"/>
      <c r="M22" s="149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</row>
    <row r="23">
      <c r="A23" s="122" t="inlineStr">
        <is>
          <t>a合同负债</t>
        </is>
      </c>
      <c r="B23" s="135" t="n"/>
      <c r="C23" s="151">
        <f>ROUND(历利调整后表!D7/历资调整后表!D57,2)</f>
        <v/>
      </c>
      <c r="D23" s="151">
        <f>ROUND(历利调整后表!G7/历资调整后表!G57,2)</f>
        <v/>
      </c>
      <c r="E23" s="151">
        <f>ROUND(历利调整后表!J7/历资调整后表!J57,2)</f>
        <v/>
      </c>
      <c r="F23" s="151">
        <f>ROUND((历利调整后表!M7/6*12)/历资调整后表!M57,2)</f>
        <v/>
      </c>
      <c r="G23" s="149" t="n"/>
      <c r="H23" s="149" t="n"/>
      <c r="I23" s="149" t="n"/>
      <c r="J23" s="149" t="n"/>
      <c r="K23" s="149" t="n"/>
      <c r="L23" s="149" t="n"/>
      <c r="M23" s="149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</row>
    <row r="24">
      <c r="A24" s="122" t="inlineStr">
        <is>
          <t xml:space="preserve"> 应付职工薪酬</t>
        </is>
      </c>
      <c r="B24" s="135" t="n"/>
      <c r="C24" s="149" t="n"/>
      <c r="D24" s="149" t="n"/>
      <c r="E24" s="149" t="n"/>
      <c r="F24" s="149" t="n"/>
      <c r="G24" s="149" t="n"/>
      <c r="H24" s="149" t="n"/>
      <c r="I24" s="149" t="n"/>
      <c r="J24" s="149" t="n"/>
      <c r="K24" s="149" t="n"/>
      <c r="L24" s="149" t="n"/>
      <c r="M24" s="149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</row>
    <row r="25">
      <c r="A25" s="122" t="inlineStr">
        <is>
          <t xml:space="preserve"> 应交税费</t>
        </is>
      </c>
      <c r="B25" s="135" t="n"/>
      <c r="C25" s="149" t="n"/>
      <c r="D25" s="149" t="n"/>
      <c r="E25" s="149" t="n"/>
      <c r="F25" s="149" t="n"/>
      <c r="G25" s="149" t="n"/>
      <c r="H25" s="149" t="n"/>
      <c r="I25" s="149" t="n"/>
      <c r="J25" s="149" t="n"/>
      <c r="K25" s="149" t="n"/>
      <c r="L25" s="149" t="n"/>
      <c r="M25" s="149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</row>
    <row r="26">
      <c r="A26" s="122" t="inlineStr">
        <is>
          <t xml:space="preserve"> 其他应付款（经营性）</t>
        </is>
      </c>
      <c r="B26" s="135" t="n"/>
      <c r="C26" s="149" t="n"/>
      <c r="D26" s="149" t="n"/>
      <c r="E26" s="149" t="n"/>
      <c r="F26" s="149" t="n"/>
      <c r="G26" s="149" t="n"/>
      <c r="H26" s="149" t="n"/>
      <c r="I26" s="149" t="n"/>
      <c r="J26" s="149" t="n"/>
      <c r="K26" s="149" t="n"/>
      <c r="L26" s="149" t="n"/>
      <c r="M26" s="149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</row>
    <row r="27">
      <c r="A27" s="122" t="inlineStr">
        <is>
          <t>a其他流动负债（合同负债对应的增值税）</t>
        </is>
      </c>
      <c r="B27" s="135" t="n"/>
      <c r="C27" s="149" t="n"/>
      <c r="D27" s="149" t="n"/>
      <c r="E27" s="149" t="n"/>
      <c r="F27" s="149" t="n"/>
      <c r="G27" s="149" t="n"/>
      <c r="H27" s="149" t="n"/>
      <c r="I27" s="149" t="n"/>
      <c r="J27" s="149" t="n"/>
      <c r="K27" s="149" t="n"/>
      <c r="L27" s="149" t="n"/>
      <c r="M27" s="149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</row>
    <row r="30">
      <c r="A30" s="5" t="inlineStr">
        <is>
          <t>二、最低现金保有量预测表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</row>
    <row r="31">
      <c r="A31" s="121" t="inlineStr">
        <is>
          <t>项目</t>
        </is>
      </c>
      <c r="B31" s="121" t="n"/>
      <c r="C31" s="121" t="inlineStr">
        <is>
          <t>历史数据</t>
        </is>
      </c>
      <c r="D31" s="154" t="n"/>
      <c r="E31" s="154" t="n"/>
      <c r="F31" s="155" t="n"/>
      <c r="G31" s="124" t="inlineStr">
        <is>
          <t>未来预测</t>
        </is>
      </c>
      <c r="H31" s="154" t="n"/>
      <c r="I31" s="154" t="n"/>
      <c r="J31" s="154" t="n"/>
      <c r="K31" s="154" t="n"/>
      <c r="L31" s="154" t="n"/>
      <c r="M31" s="15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</row>
    <row r="32">
      <c r="A32" s="147" t="n"/>
      <c r="B32" s="147" t="n"/>
      <c r="C32" s="121" t="inlineStr">
        <is>
          <t>2022年度</t>
        </is>
      </c>
      <c r="D32" s="121" t="inlineStr">
        <is>
          <t>2023年度</t>
        </is>
      </c>
      <c r="E32" s="121" t="inlineStr">
        <is>
          <t>2024年度</t>
        </is>
      </c>
      <c r="F32" s="121" t="inlineStr">
        <is>
          <t>2025年1-6月</t>
        </is>
      </c>
      <c r="G32" s="124" t="inlineStr">
        <is>
          <t>2025年7-12月</t>
        </is>
      </c>
      <c r="H32" s="124" t="inlineStr">
        <is>
          <t>2026年度</t>
        </is>
      </c>
      <c r="I32" s="124" t="inlineStr">
        <is>
          <t>2027年度</t>
        </is>
      </c>
      <c r="J32" s="124" t="inlineStr">
        <is>
          <t>2028年度</t>
        </is>
      </c>
      <c r="K32" s="124" t="inlineStr">
        <is>
          <t>2029年度</t>
        </is>
      </c>
      <c r="L32" s="124" t="inlineStr">
        <is>
          <t>2030年度</t>
        </is>
      </c>
      <c r="M32" s="124" t="inlineStr">
        <is>
          <t>永续年度</t>
        </is>
      </c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</row>
    <row r="33">
      <c r="A33" s="122" t="inlineStr">
        <is>
          <t>营业收入</t>
        </is>
      </c>
      <c r="B33" s="135" t="n"/>
      <c r="C33" s="156">
        <f>营业收入表!C17</f>
        <v/>
      </c>
      <c r="D33" s="156">
        <f>营业收入表!D17</f>
        <v/>
      </c>
      <c r="E33" s="156">
        <f>营业收入表!E17</f>
        <v/>
      </c>
      <c r="F33" s="156">
        <f>营业收入表!F17</f>
        <v/>
      </c>
      <c r="G33" s="156">
        <f>营业收入表!G17</f>
        <v/>
      </c>
      <c r="H33" s="156">
        <f>营业收入表!H17</f>
        <v/>
      </c>
      <c r="I33" s="156">
        <f>营业收入表!I17</f>
        <v/>
      </c>
      <c r="J33" s="156">
        <f>营业收入表!J17</f>
        <v/>
      </c>
      <c r="K33" s="156">
        <f>营业收入表!K17</f>
        <v/>
      </c>
      <c r="L33" s="156">
        <f>营业收入表!L17</f>
        <v/>
      </c>
      <c r="M33" s="156">
        <f>营业收入表!M17</f>
        <v/>
      </c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</row>
    <row r="34">
      <c r="A34" s="122" t="inlineStr">
        <is>
          <t>营业成本</t>
        </is>
      </c>
      <c r="B34" s="135" t="n"/>
      <c r="C34" s="156">
        <f>营业成本表!C17</f>
        <v/>
      </c>
      <c r="D34" s="156">
        <f>营业成本表!D17</f>
        <v/>
      </c>
      <c r="E34" s="156">
        <f>营业成本表!E17</f>
        <v/>
      </c>
      <c r="F34" s="156">
        <f>营业成本表!F17</f>
        <v/>
      </c>
      <c r="G34" s="156">
        <f>营业成本表!G17</f>
        <v/>
      </c>
      <c r="H34" s="156">
        <f>营业成本表!H17</f>
        <v/>
      </c>
      <c r="I34" s="156">
        <f>营业成本表!I17</f>
        <v/>
      </c>
      <c r="J34" s="156">
        <f>营业成本表!J17</f>
        <v/>
      </c>
      <c r="K34" s="156">
        <f>营业成本表!K17</f>
        <v/>
      </c>
      <c r="L34" s="156">
        <f>营业成本表!L17</f>
        <v/>
      </c>
      <c r="M34" s="156">
        <f>营业成本表!M17</f>
        <v/>
      </c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>
      <c r="A35" s="122" t="inlineStr">
        <is>
          <t>税金及附加</t>
        </is>
      </c>
      <c r="B35" s="135" t="n"/>
      <c r="C35" s="156">
        <f>税金及附加表!C27</f>
        <v/>
      </c>
      <c r="D35" s="156">
        <f>税金及附加表!D27</f>
        <v/>
      </c>
      <c r="E35" s="156">
        <f>税金及附加表!E27</f>
        <v/>
      </c>
      <c r="F35" s="156">
        <f>税金及附加表!F27</f>
        <v/>
      </c>
      <c r="G35" s="156">
        <f>税金及附加表!G27</f>
        <v/>
      </c>
      <c r="H35" s="156">
        <f>税金及附加表!H27</f>
        <v/>
      </c>
      <c r="I35" s="156">
        <f>税金及附加表!I27</f>
        <v/>
      </c>
      <c r="J35" s="156">
        <f>税金及附加表!J27</f>
        <v/>
      </c>
      <c r="K35" s="156">
        <f>税金及附加表!K27</f>
        <v/>
      </c>
      <c r="L35" s="156">
        <f>税金及附加表!L27</f>
        <v/>
      </c>
      <c r="M35" s="156">
        <f>税金及附加表!M27</f>
        <v/>
      </c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>
      <c r="A36" s="122" t="inlineStr">
        <is>
          <t>销售费用</t>
        </is>
      </c>
      <c r="B36" s="135" t="n"/>
      <c r="C36" s="156">
        <f>销售费用表!C62</f>
        <v/>
      </c>
      <c r="D36" s="156">
        <f>销售费用表!D62</f>
        <v/>
      </c>
      <c r="E36" s="156">
        <f>销售费用表!E62</f>
        <v/>
      </c>
      <c r="F36" s="156">
        <f>销售费用表!F62</f>
        <v/>
      </c>
      <c r="G36" s="156">
        <f>销售费用表!G62</f>
        <v/>
      </c>
      <c r="H36" s="156">
        <f>销售费用表!H62</f>
        <v/>
      </c>
      <c r="I36" s="156">
        <f>销售费用表!I62</f>
        <v/>
      </c>
      <c r="J36" s="156">
        <f>销售费用表!J62</f>
        <v/>
      </c>
      <c r="K36" s="156">
        <f>销售费用表!K62</f>
        <v/>
      </c>
      <c r="L36" s="156">
        <f>销售费用表!L62</f>
        <v/>
      </c>
      <c r="M36" s="156">
        <f>销售费用表!M62</f>
        <v/>
      </c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>
      <c r="A37" s="122" t="inlineStr">
        <is>
          <t>管理费用</t>
        </is>
      </c>
      <c r="B37" s="135" t="n"/>
      <c r="C37" s="156">
        <f>管理费用表!C62</f>
        <v/>
      </c>
      <c r="D37" s="156">
        <f>管理费用表!D62</f>
        <v/>
      </c>
      <c r="E37" s="156">
        <f>管理费用表!E62</f>
        <v/>
      </c>
      <c r="F37" s="156">
        <f>管理费用表!F62</f>
        <v/>
      </c>
      <c r="G37" s="156">
        <f>管理费用表!G62</f>
        <v/>
      </c>
      <c r="H37" s="156">
        <f>管理费用表!H62</f>
        <v/>
      </c>
      <c r="I37" s="156">
        <f>管理费用表!I62</f>
        <v/>
      </c>
      <c r="J37" s="156">
        <f>管理费用表!J62</f>
        <v/>
      </c>
      <c r="K37" s="156">
        <f>管理费用表!K62</f>
        <v/>
      </c>
      <c r="L37" s="156">
        <f>管理费用表!L62</f>
        <v/>
      </c>
      <c r="M37" s="156">
        <f>管理费用表!M62</f>
        <v/>
      </c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>
      <c r="A38" s="122" t="inlineStr">
        <is>
          <t>研发费用</t>
        </is>
      </c>
      <c r="B38" s="135" t="n"/>
      <c r="C38" s="156">
        <f>研发费用表!C63</f>
        <v/>
      </c>
      <c r="D38" s="156">
        <f>研发费用表!D63</f>
        <v/>
      </c>
      <c r="E38" s="156">
        <f>研发费用表!E63</f>
        <v/>
      </c>
      <c r="F38" s="156">
        <f>研发费用表!F63</f>
        <v/>
      </c>
      <c r="G38" s="156">
        <f>研发费用表!G63</f>
        <v/>
      </c>
      <c r="H38" s="156">
        <f>研发费用表!H63</f>
        <v/>
      </c>
      <c r="I38" s="156">
        <f>研发费用表!I63</f>
        <v/>
      </c>
      <c r="J38" s="156">
        <f>研发费用表!J63</f>
        <v/>
      </c>
      <c r="K38" s="156">
        <f>研发费用表!K63</f>
        <v/>
      </c>
      <c r="L38" s="156">
        <f>研发费用表!L63</f>
        <v/>
      </c>
      <c r="M38" s="156">
        <f>研发费用表!M63</f>
        <v/>
      </c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>
      <c r="A39" s="122" t="inlineStr">
        <is>
          <t>财务费用</t>
        </is>
      </c>
      <c r="B39" s="135" t="n"/>
      <c r="C39" s="156">
        <f>财务费用表!C15</f>
        <v/>
      </c>
      <c r="D39" s="156">
        <f>财务费用表!D15</f>
        <v/>
      </c>
      <c r="E39" s="156">
        <f>财务费用表!E15</f>
        <v/>
      </c>
      <c r="F39" s="156">
        <f>财务费用表!F15</f>
        <v/>
      </c>
      <c r="G39" s="156">
        <f>财务费用表!G15</f>
        <v/>
      </c>
      <c r="H39" s="156">
        <f>财务费用表!H15</f>
        <v/>
      </c>
      <c r="I39" s="156">
        <f>财务费用表!I15</f>
        <v/>
      </c>
      <c r="J39" s="156">
        <f>财务费用表!J15</f>
        <v/>
      </c>
      <c r="K39" s="156">
        <f>财务费用表!K15</f>
        <v/>
      </c>
      <c r="L39" s="156">
        <f>财务费用表!L15</f>
        <v/>
      </c>
      <c r="M39" s="156">
        <f>财务费用表!M15</f>
        <v/>
      </c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>
      <c r="A40" s="122" t="inlineStr">
        <is>
          <t>所得税费用</t>
        </is>
      </c>
      <c r="B40" s="135" t="n"/>
      <c r="C40" s="156">
        <f>所得税表!C43</f>
        <v/>
      </c>
      <c r="D40" s="156">
        <f>所得税表!D43</f>
        <v/>
      </c>
      <c r="E40" s="156">
        <f>所得税表!E43</f>
        <v/>
      </c>
      <c r="F40" s="156">
        <f>所得税表!F43</f>
        <v/>
      </c>
      <c r="G40" s="156">
        <f>所得税表!G43</f>
        <v/>
      </c>
      <c r="H40" s="156">
        <f>所得税表!H43</f>
        <v/>
      </c>
      <c r="I40" s="156">
        <f>所得税表!I43</f>
        <v/>
      </c>
      <c r="J40" s="156">
        <f>所得税表!J43</f>
        <v/>
      </c>
      <c r="K40" s="156">
        <f>所得税表!K43</f>
        <v/>
      </c>
      <c r="L40" s="156">
        <f>所得税表!L43</f>
        <v/>
      </c>
      <c r="M40" s="156">
        <f>所得税表!M43</f>
        <v/>
      </c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>
      <c r="A41" s="122" t="inlineStr">
        <is>
          <t>增值税</t>
        </is>
      </c>
      <c r="B41" s="135" t="n"/>
      <c r="C41" s="149" t="n"/>
      <c r="D41" s="149" t="n"/>
      <c r="E41" s="149" t="n"/>
      <c r="F41" s="149" t="n"/>
      <c r="G41" s="156">
        <f>IF(增值税表!G162&gt;0,增值税表!G162,0)</f>
        <v/>
      </c>
      <c r="H41" s="156">
        <f>IF(增值税表!H162&gt;0,增值税表!H162,0)</f>
        <v/>
      </c>
      <c r="I41" s="156">
        <f>IF(增值税表!I162&gt;0,增值税表!I162,0)</f>
        <v/>
      </c>
      <c r="J41" s="156">
        <f>IF(增值税表!J162&gt;0,增值税表!J162,0)</f>
        <v/>
      </c>
      <c r="K41" s="156">
        <f>IF(增值税表!K162&gt;0,增值税表!K162,0)</f>
        <v/>
      </c>
      <c r="L41" s="156">
        <f>IF(增值税表!L162&gt;0,增值税表!L162,0)</f>
        <v/>
      </c>
      <c r="M41" s="156">
        <f>IF(增值税表!M162&gt;0,增值税表!M162,0)</f>
        <v/>
      </c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>
      <c r="A42" s="122" t="inlineStr">
        <is>
          <t>完全成本</t>
        </is>
      </c>
      <c r="B42" s="135" t="n"/>
      <c r="C42" s="151">
        <f>SUM(C34:C41)</f>
        <v/>
      </c>
      <c r="D42" s="151">
        <f>SUM(D34:D41)</f>
        <v/>
      </c>
      <c r="E42" s="151">
        <f>SUM(E34:E41)</f>
        <v/>
      </c>
      <c r="F42" s="151">
        <f>SUM(F34:F41)</f>
        <v/>
      </c>
      <c r="G42" s="151">
        <f>SUM(G34:G41)</f>
        <v/>
      </c>
      <c r="H42" s="151">
        <f>SUM(H34:H41)</f>
        <v/>
      </c>
      <c r="I42" s="151">
        <f>SUM(I34:I41)</f>
        <v/>
      </c>
      <c r="J42" s="151">
        <f>SUM(J34:J41)</f>
        <v/>
      </c>
      <c r="K42" s="151">
        <f>SUM(K34:K41)</f>
        <v/>
      </c>
      <c r="L42" s="151">
        <f>SUM(L34:L41)</f>
        <v/>
      </c>
      <c r="M42" s="151">
        <f>SUM(M34:M41)</f>
        <v/>
      </c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>
      <c r="A43" s="122" t="inlineStr">
        <is>
          <t>减：折旧/摊销</t>
        </is>
      </c>
      <c r="B43" s="135" t="n"/>
      <c r="C43" s="156">
        <f>折旧摊销、资本性支出表!C19</f>
        <v/>
      </c>
      <c r="D43" s="156">
        <f>折旧摊销、资本性支出表!D19</f>
        <v/>
      </c>
      <c r="E43" s="156">
        <f>折旧摊销、资本性支出表!E19</f>
        <v/>
      </c>
      <c r="F43" s="156">
        <f>折旧摊销、资本性支出表!F19</f>
        <v/>
      </c>
      <c r="G43" s="156">
        <f>折旧摊销、资本性支出表!G19</f>
        <v/>
      </c>
      <c r="H43" s="156">
        <f>折旧摊销、资本性支出表!H19</f>
        <v/>
      </c>
      <c r="I43" s="156">
        <f>折旧摊销、资本性支出表!I19</f>
        <v/>
      </c>
      <c r="J43" s="156">
        <f>折旧摊销、资本性支出表!J19</f>
        <v/>
      </c>
      <c r="K43" s="156">
        <f>折旧摊销、资本性支出表!K19</f>
        <v/>
      </c>
      <c r="L43" s="156">
        <f>折旧摊销、资本性支出表!L19</f>
        <v/>
      </c>
      <c r="M43" s="156">
        <f>折旧摊销、资本性支出表!M19</f>
        <v/>
      </c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>
      <c r="A44" s="122" t="inlineStr">
        <is>
          <t>付现成本</t>
        </is>
      </c>
      <c r="B44" s="135" t="n"/>
      <c r="C44" s="151">
        <f>C42-C43</f>
        <v/>
      </c>
      <c r="D44" s="151">
        <f>D42-D43</f>
        <v/>
      </c>
      <c r="E44" s="151">
        <f>E42-E43</f>
        <v/>
      </c>
      <c r="F44" s="151">
        <f>F42-F43</f>
        <v/>
      </c>
      <c r="G44" s="151">
        <f>G42-G43</f>
        <v/>
      </c>
      <c r="H44" s="151">
        <f>H42-H43</f>
        <v/>
      </c>
      <c r="I44" s="151">
        <f>I42-I43</f>
        <v/>
      </c>
      <c r="J44" s="151">
        <f>J42-J43</f>
        <v/>
      </c>
      <c r="K44" s="151">
        <f>K42-K43</f>
        <v/>
      </c>
      <c r="L44" s="151">
        <f>L42-L43</f>
        <v/>
      </c>
      <c r="M44" s="151">
        <f>M42-M43</f>
        <v/>
      </c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>
      <c r="A45" s="122" t="inlineStr">
        <is>
          <t>安全资金的月数</t>
        </is>
      </c>
      <c r="B45" s="135" t="n"/>
      <c r="C45" s="149" t="n"/>
      <c r="D45" s="149" t="n"/>
      <c r="E45" s="149" t="n"/>
      <c r="F45" s="149" t="n"/>
      <c r="G45" s="149" t="n"/>
      <c r="H45" s="149" t="n"/>
      <c r="I45" s="149" t="n"/>
      <c r="J45" s="149" t="n"/>
      <c r="K45" s="149" t="n"/>
      <c r="L45" s="149" t="n"/>
      <c r="M45" s="149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>
      <c r="A46" s="122" t="inlineStr">
        <is>
          <t>安全运营现金（最低现金保有量）</t>
        </is>
      </c>
      <c r="B46" s="135" t="n"/>
      <c r="C46" s="151">
        <f>ROUND((C44)/12*C45,2)</f>
        <v/>
      </c>
      <c r="D46" s="151">
        <f>ROUND((D44)/12*D45,2)</f>
        <v/>
      </c>
      <c r="E46" s="151">
        <f>ROUND((E44)/12*E45,2)</f>
        <v/>
      </c>
      <c r="F46" s="151">
        <f>ROUND((F44)/6*F45,2)</f>
        <v/>
      </c>
      <c r="G46" s="151">
        <f>ROUND((F44+G44)/12*G45,2)</f>
        <v/>
      </c>
      <c r="H46" s="151">
        <f>ROUND((H44)/12*H45,2)</f>
        <v/>
      </c>
      <c r="I46" s="151">
        <f>ROUND((I44)/12*I45,2)</f>
        <v/>
      </c>
      <c r="J46" s="151">
        <f>ROUND((J44)/12*J45,2)</f>
        <v/>
      </c>
      <c r="K46" s="151">
        <f>ROUND((K44)/12*K45,2)</f>
        <v/>
      </c>
      <c r="L46" s="151">
        <f>ROUND((L44)/12*L45,2)</f>
        <v/>
      </c>
      <c r="M46" s="151">
        <f>ROUND((M44)/12*M45,2)</f>
        <v/>
      </c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>
      <c r="A49" s="5" t="inlineStr">
        <is>
          <t>三、营运资金预测表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>
      <c r="A50" s="121" t="inlineStr">
        <is>
          <t>项目</t>
        </is>
      </c>
      <c r="B50" s="121" t="n"/>
      <c r="C50" s="121" t="inlineStr">
        <is>
          <t>历史数据</t>
        </is>
      </c>
      <c r="D50" s="154" t="n"/>
      <c r="E50" s="154" t="n"/>
      <c r="F50" s="155" t="n"/>
      <c r="G50" s="124" t="inlineStr">
        <is>
          <t>未来预测</t>
        </is>
      </c>
      <c r="H50" s="154" t="n"/>
      <c r="I50" s="154" t="n"/>
      <c r="J50" s="154" t="n"/>
      <c r="K50" s="154" t="n"/>
      <c r="L50" s="154" t="n"/>
      <c r="M50" s="15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>
      <c r="A51" s="147" t="n"/>
      <c r="B51" s="147" t="n"/>
      <c r="C51" s="121" t="inlineStr">
        <is>
          <t>2022年度</t>
        </is>
      </c>
      <c r="D51" s="121" t="inlineStr">
        <is>
          <t>2023年度</t>
        </is>
      </c>
      <c r="E51" s="121" t="inlineStr">
        <is>
          <t>2024年度</t>
        </is>
      </c>
      <c r="F51" s="121" t="inlineStr">
        <is>
          <t>2025年1-6月</t>
        </is>
      </c>
      <c r="G51" s="124" t="inlineStr">
        <is>
          <t>2025年7-12月</t>
        </is>
      </c>
      <c r="H51" s="124" t="inlineStr">
        <is>
          <t>2026年度</t>
        </is>
      </c>
      <c r="I51" s="124" t="inlineStr">
        <is>
          <t>2027年度</t>
        </is>
      </c>
      <c r="J51" s="124" t="inlineStr">
        <is>
          <t>2028年度</t>
        </is>
      </c>
      <c r="K51" s="124" t="inlineStr">
        <is>
          <t>2029年度</t>
        </is>
      </c>
      <c r="L51" s="124" t="inlineStr">
        <is>
          <t>2030年度</t>
        </is>
      </c>
      <c r="M51" s="124" t="inlineStr">
        <is>
          <t>永续年度</t>
        </is>
      </c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>
      <c r="A52" s="122" t="inlineStr">
        <is>
          <t>流动资产：</t>
        </is>
      </c>
      <c r="B52" s="7" t="n"/>
      <c r="C52" s="148" t="n"/>
      <c r="D52" s="148" t="n"/>
      <c r="E52" s="148" t="n"/>
      <c r="F52" s="148" t="n"/>
      <c r="G52" s="148" t="n"/>
      <c r="H52" s="148" t="n"/>
      <c r="I52" s="148" t="n"/>
      <c r="J52" s="148" t="n"/>
      <c r="K52" s="148" t="n"/>
      <c r="L52" s="148" t="n"/>
      <c r="M52" s="148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>
      <c r="A53" s="122" t="inlineStr">
        <is>
          <t xml:space="preserve">    最低现金保有量</t>
        </is>
      </c>
      <c r="B53" s="135" t="n"/>
      <c r="C53" s="149" t="n"/>
      <c r="D53" s="149" t="n"/>
      <c r="E53" s="149" t="n"/>
      <c r="F53" s="149">
        <f>F46</f>
        <v/>
      </c>
      <c r="G53" s="149">
        <f>G46</f>
        <v/>
      </c>
      <c r="H53" s="149">
        <f>H46</f>
        <v/>
      </c>
      <c r="I53" s="149">
        <f>I46</f>
        <v/>
      </c>
      <c r="J53" s="149">
        <f>J46</f>
        <v/>
      </c>
      <c r="K53" s="149">
        <f>K46</f>
        <v/>
      </c>
      <c r="L53" s="149">
        <f>L46</f>
        <v/>
      </c>
      <c r="M53" s="148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>
      <c r="A54" s="122" t="inlineStr">
        <is>
          <t xml:space="preserve">    受限货币资金（如应付票据保证金）</t>
        </is>
      </c>
      <c r="B54" s="135" t="n"/>
      <c r="C54" s="149" t="n"/>
      <c r="D54" s="149" t="n"/>
      <c r="E54" s="149" t="n"/>
      <c r="F54" s="149" t="n"/>
      <c r="G54" s="149" t="n"/>
      <c r="H54" s="149" t="n"/>
      <c r="I54" s="149" t="n"/>
      <c r="J54" s="149" t="n"/>
      <c r="K54" s="149" t="n"/>
      <c r="L54" s="149" t="n"/>
      <c r="M54" s="148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>
      <c r="A55" s="122" t="inlineStr">
        <is>
          <t xml:space="preserve">   A应收款项</t>
        </is>
      </c>
      <c r="B55" s="135" t="n"/>
      <c r="C55" s="156">
        <f>历资调整后表!D12+历资调整后表!D13+历资调整后表!D14+历资调整后表!D22-历资调整后表!D56-历资调整后表!D57-历资调整后表!D69</f>
        <v/>
      </c>
      <c r="D55" s="156">
        <f>历资调整后表!G12+历资调整后表!G13+历资调整后表!G14+历资调整后表!G22-历资调整后表!G56-历资调整后表!G57-历资调整后表!G69</f>
        <v/>
      </c>
      <c r="E55" s="156">
        <f>历资调整后表!J12+历资调整后表!J13+历资调整后表!J14+历资调整后表!J22-历资调整后表!J56-历资调整后表!J57-历资调整后表!J69</f>
        <v/>
      </c>
      <c r="F55" s="156">
        <f>历资调整后表!M12+历资调整后表!M13+历资调整后表!M14+历资调整后表!M22-历资调整后表!M56-历资调整后表!M57-历资调整后表!M69</f>
        <v/>
      </c>
      <c r="G55" s="151">
        <f>IFERROR(ROUND((G33+F33)/G9,2),0)</f>
        <v/>
      </c>
      <c r="H55" s="151">
        <f>IFERROR(ROUND((H33)/H9,2),0)</f>
        <v/>
      </c>
      <c r="I55" s="151">
        <f>IFERROR(ROUND((I33)/I9,2),0)</f>
        <v/>
      </c>
      <c r="J55" s="151">
        <f>IFERROR(ROUND((J33)/J9,2),0)</f>
        <v/>
      </c>
      <c r="K55" s="151">
        <f>IFERROR(ROUND((K33)/K9,2),0)</f>
        <v/>
      </c>
      <c r="L55" s="151">
        <f>IFERROR(ROUND((L33)/L9,2),0)</f>
        <v/>
      </c>
      <c r="M55" s="148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>
      <c r="A56" s="122" t="inlineStr">
        <is>
          <t xml:space="preserve">   a应收票据</t>
        </is>
      </c>
      <c r="B56" s="135" t="n"/>
      <c r="C56" s="156">
        <f>历资调整后表!D12</f>
        <v/>
      </c>
      <c r="D56" s="156">
        <f>历资调整后表!G12</f>
        <v/>
      </c>
      <c r="E56" s="156">
        <f>历资调整后表!J12</f>
        <v/>
      </c>
      <c r="F56" s="156">
        <f>历资调整后表!M12</f>
        <v/>
      </c>
      <c r="G56" s="151">
        <f>IFERROR(ROUND((G33+F33)/G10,2),0)</f>
        <v/>
      </c>
      <c r="H56" s="151">
        <f>IFERROR(ROUND((H33)/H10,2),0)</f>
        <v/>
      </c>
      <c r="I56" s="151">
        <f>IFERROR(ROUND((I33)/I10,2),0)</f>
        <v/>
      </c>
      <c r="J56" s="151">
        <f>IFERROR(ROUND((J33)/J10,2),0)</f>
        <v/>
      </c>
      <c r="K56" s="151">
        <f>IFERROR(ROUND((K33)/K10,2),0)</f>
        <v/>
      </c>
      <c r="L56" s="151">
        <f>IFERROR(ROUND((L33)/L10,2),0)</f>
        <v/>
      </c>
      <c r="M56" s="148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>
      <c r="A57" s="122" t="inlineStr">
        <is>
          <t xml:space="preserve">   a应收账款</t>
        </is>
      </c>
      <c r="B57" s="135" t="n"/>
      <c r="C57" s="156">
        <f>历资调整后表!D13</f>
        <v/>
      </c>
      <c r="D57" s="156">
        <f>历资调整后表!G13</f>
        <v/>
      </c>
      <c r="E57" s="156">
        <f>历资调整后表!J13</f>
        <v/>
      </c>
      <c r="F57" s="156">
        <f>历资调整后表!M13</f>
        <v/>
      </c>
      <c r="G57" s="151">
        <f>IFERROR(ROUND((G33+F33)/G11,2),0)</f>
        <v/>
      </c>
      <c r="H57" s="151">
        <f>IFERROR(ROUND((H33)/H11,2),0)</f>
        <v/>
      </c>
      <c r="I57" s="151">
        <f>IFERROR(ROUND((I33)/I11,2),0)</f>
        <v/>
      </c>
      <c r="J57" s="151">
        <f>IFERROR(ROUND((J33)/J11,2),0)</f>
        <v/>
      </c>
      <c r="K57" s="151">
        <f>IFERROR(ROUND((K33)/K11,2),0)</f>
        <v/>
      </c>
      <c r="L57" s="151">
        <f>IFERROR(ROUND((L33)/L11,2),0)</f>
        <v/>
      </c>
      <c r="M57" s="148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>
      <c r="A58" s="122" t="inlineStr">
        <is>
          <t xml:space="preserve">   a应收款项融资</t>
        </is>
      </c>
      <c r="B58" s="135" t="n"/>
      <c r="C58" s="156">
        <f>历资调整后表!D14</f>
        <v/>
      </c>
      <c r="D58" s="156">
        <f>历资调整后表!G14</f>
        <v/>
      </c>
      <c r="E58" s="156">
        <f>历资调整后表!J14</f>
        <v/>
      </c>
      <c r="F58" s="156">
        <f>历资调整后表!M14</f>
        <v/>
      </c>
      <c r="G58" s="151">
        <f>IFERROR(ROUND((G33+F33)/G12,2),0)</f>
        <v/>
      </c>
      <c r="H58" s="151">
        <f>IFERROR(ROUND((H33)/H12,2),0)</f>
        <v/>
      </c>
      <c r="I58" s="151">
        <f>IFERROR(ROUND((I33)/I12,2),0)</f>
        <v/>
      </c>
      <c r="J58" s="151">
        <f>IFERROR(ROUND((J33)/J12,2),0)</f>
        <v/>
      </c>
      <c r="K58" s="151">
        <f>IFERROR(ROUND((K33)/K12,2),0)</f>
        <v/>
      </c>
      <c r="L58" s="151">
        <f>IFERROR(ROUND((L33)/L12,2),0)</f>
        <v/>
      </c>
      <c r="M58" s="148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>
      <c r="A59" s="122" t="inlineStr">
        <is>
          <t xml:space="preserve">   a合同资产</t>
        </is>
      </c>
      <c r="B59" s="135" t="n"/>
      <c r="C59" s="156">
        <f>历资调整后表!D22</f>
        <v/>
      </c>
      <c r="D59" s="156">
        <f>历资调整后表!G22</f>
        <v/>
      </c>
      <c r="E59" s="156">
        <f>历资调整后表!J22</f>
        <v/>
      </c>
      <c r="F59" s="156">
        <f>历资调整后表!M22</f>
        <v/>
      </c>
      <c r="G59" s="151">
        <f>IFERROR(ROUND((G33+F33)/G13,2),0)</f>
        <v/>
      </c>
      <c r="H59" s="151">
        <f>IFERROR(ROUND((H33)/H13,2),0)</f>
        <v/>
      </c>
      <c r="I59" s="151">
        <f>IFERROR(ROUND((I33)/I13,2),0)</f>
        <v/>
      </c>
      <c r="J59" s="151">
        <f>IFERROR(ROUND((J33)/J13,2),0)</f>
        <v/>
      </c>
      <c r="K59" s="151">
        <f>IFERROR(ROUND((K33)/K13,2),0)</f>
        <v/>
      </c>
      <c r="L59" s="151">
        <f>IFERROR(ROUND((L33)/L13,2),0)</f>
        <v/>
      </c>
      <c r="M59" s="148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>
      <c r="A60" s="122" t="inlineStr">
        <is>
          <t xml:space="preserve">   b预付款项</t>
        </is>
      </c>
      <c r="B60" s="135" t="n"/>
      <c r="C60" s="156">
        <f>历资调整后表!D15</f>
        <v/>
      </c>
      <c r="D60" s="156">
        <f>历资调整后表!G15</f>
        <v/>
      </c>
      <c r="E60" s="156">
        <f>历资调整后表!J15</f>
        <v/>
      </c>
      <c r="F60" s="156" t="n"/>
      <c r="G60" s="151">
        <f>IFERROR(ROUND((G34+F34)/G14,2),0)</f>
        <v/>
      </c>
      <c r="H60" s="151">
        <f>IFERROR(ROUND((H34)/H14,2),0)</f>
        <v/>
      </c>
      <c r="I60" s="151">
        <f>IFERROR(ROUND((I34)/I14,2),0)</f>
        <v/>
      </c>
      <c r="J60" s="151">
        <f>IFERROR(ROUND((J34)/J14,2),0)</f>
        <v/>
      </c>
      <c r="K60" s="151">
        <f>IFERROR(ROUND((K34)/K14,2),0)</f>
        <v/>
      </c>
      <c r="L60" s="151">
        <f>IFERROR(ROUND((L34)/L14,2),0)</f>
        <v/>
      </c>
      <c r="M60" s="148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>
      <c r="A61" s="122" t="inlineStr">
        <is>
          <t xml:space="preserve">    其他应收款（经营性）</t>
        </is>
      </c>
      <c r="B61" s="135" t="n"/>
      <c r="C61" s="156">
        <f>历资调整后表!D19</f>
        <v/>
      </c>
      <c r="D61" s="156">
        <f>历资调整后表!G19</f>
        <v/>
      </c>
      <c r="E61" s="156">
        <f>历资调整后表!J19</f>
        <v/>
      </c>
      <c r="F61" s="156">
        <f>历资调整后表!M19</f>
        <v/>
      </c>
      <c r="G61" s="149" t="n"/>
      <c r="H61" s="149" t="n"/>
      <c r="I61" s="149" t="n"/>
      <c r="J61" s="149" t="n"/>
      <c r="K61" s="149" t="n"/>
      <c r="L61" s="149" t="n"/>
      <c r="M61" s="148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>
      <c r="A62" s="122" t="inlineStr">
        <is>
          <t xml:space="preserve">    存货</t>
        </is>
      </c>
      <c r="B62" s="135" t="n"/>
      <c r="C62" s="156">
        <f>历资调整后表!D21</f>
        <v/>
      </c>
      <c r="D62" s="156">
        <f>历资调整后表!G21</f>
        <v/>
      </c>
      <c r="E62" s="156">
        <f>历资调整后表!J21</f>
        <v/>
      </c>
      <c r="F62" s="156">
        <f>历资调整后表!M21</f>
        <v/>
      </c>
      <c r="G62" s="151">
        <f>IFERROR(ROUND((G34+F34)/G16,2),0)</f>
        <v/>
      </c>
      <c r="H62" s="151">
        <f>IFERROR(ROUND((H34)/H16,2),0)</f>
        <v/>
      </c>
      <c r="I62" s="151">
        <f>IFERROR(ROUND((I34)/I16,2),0)</f>
        <v/>
      </c>
      <c r="J62" s="151">
        <f>IFERROR(ROUND((J34)/J16,2),0)</f>
        <v/>
      </c>
      <c r="K62" s="151">
        <f>IFERROR(ROUND((K34)/K16,2),0)</f>
        <v/>
      </c>
      <c r="L62" s="151">
        <f>IFERROR(ROUND((L34)/L16,2),0)</f>
        <v/>
      </c>
      <c r="M62" s="148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>
      <c r="A63" s="122" t="inlineStr">
        <is>
          <t xml:space="preserve">    其他流动资产（不含待抵扣进项税）</t>
        </is>
      </c>
      <c r="B63" s="135" t="n"/>
      <c r="C63" s="149" t="n"/>
      <c r="D63" s="149" t="n"/>
      <c r="E63" s="149" t="n"/>
      <c r="F63" s="149" t="n"/>
      <c r="G63" s="149" t="n"/>
      <c r="H63" s="149" t="n"/>
      <c r="I63" s="149" t="n"/>
      <c r="J63" s="149" t="n"/>
      <c r="K63" s="149" t="n"/>
      <c r="L63" s="149" t="n"/>
      <c r="M63" s="148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>
      <c r="A64" s="122" t="inlineStr">
        <is>
          <t xml:space="preserve">    待抵扣进项税</t>
        </is>
      </c>
      <c r="B64" s="135" t="n"/>
      <c r="C64" s="149" t="n"/>
      <c r="D64" s="149" t="n"/>
      <c r="E64" s="149" t="n"/>
      <c r="F64" s="149" t="n"/>
      <c r="G64" s="149" t="n"/>
      <c r="H64" s="149" t="n"/>
      <c r="I64" s="149" t="n"/>
      <c r="J64" s="149" t="n"/>
      <c r="K64" s="149" t="n"/>
      <c r="L64" s="149" t="n"/>
      <c r="M64" s="148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>
      <c r="A65" s="136" t="inlineStr">
        <is>
          <t xml:space="preserve">    流动资产合计</t>
        </is>
      </c>
      <c r="B65" s="137" t="n"/>
      <c r="C65" s="150">
        <f>SUM(C53:C54,C56:C64)</f>
        <v/>
      </c>
      <c r="D65" s="150">
        <f>SUM(D53:D54,D56:D64)</f>
        <v/>
      </c>
      <c r="E65" s="150">
        <f>SUM(E53:E54,E56:E64)</f>
        <v/>
      </c>
      <c r="F65" s="150">
        <f>SUM(F53:F54,F56:F64)</f>
        <v/>
      </c>
      <c r="G65" s="150">
        <f>SUM(G53:G64)</f>
        <v/>
      </c>
      <c r="H65" s="150">
        <f>SUM(H53:H64)</f>
        <v/>
      </c>
      <c r="I65" s="150">
        <f>SUM(I53:I64)</f>
        <v/>
      </c>
      <c r="J65" s="150">
        <f>SUM(J53:J64)</f>
        <v/>
      </c>
      <c r="K65" s="150">
        <f>SUM(K53:K64)</f>
        <v/>
      </c>
      <c r="L65" s="150">
        <f>SUM(L53:L64)</f>
        <v/>
      </c>
      <c r="M65" s="171" t="n"/>
      <c r="N65" s="30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>
      <c r="A66" s="122" t="inlineStr">
        <is>
          <t>流动负债：</t>
        </is>
      </c>
      <c r="B66" s="7" t="n"/>
      <c r="C66" s="148" t="n"/>
      <c r="D66" s="148" t="n"/>
      <c r="E66" s="148" t="n"/>
      <c r="F66" s="148" t="n"/>
      <c r="G66" s="148" t="n"/>
      <c r="H66" s="148" t="n"/>
      <c r="I66" s="148" t="n"/>
      <c r="J66" s="148" t="n"/>
      <c r="K66" s="148" t="n"/>
      <c r="L66" s="148" t="n"/>
      <c r="M66" s="148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>
      <c r="A67" s="122" t="inlineStr">
        <is>
          <t xml:space="preserve">   B应付款项</t>
        </is>
      </c>
      <c r="B67" s="135" t="n"/>
      <c r="C67" s="156">
        <f>历资调整后表!D54+历资调整后表!D55-历资调整后表!D15</f>
        <v/>
      </c>
      <c r="D67" s="156">
        <f>历资调整后表!G54+历资调整后表!G55-历资调整后表!G15</f>
        <v/>
      </c>
      <c r="E67" s="156">
        <f>历资调整后表!J54+历资调整后表!J55-历资调整后表!J15</f>
        <v/>
      </c>
      <c r="F67" s="156">
        <f>历资调整后表!M54+历资调整后表!M55-历资调整后表!M15</f>
        <v/>
      </c>
      <c r="G67" s="151">
        <f>IFERROR(ROUND((G34+F34)/G19,2),0)</f>
        <v/>
      </c>
      <c r="H67" s="151">
        <f>IFERROR(ROUND((H34)/H19,2),0)</f>
        <v/>
      </c>
      <c r="I67" s="151">
        <f>IFERROR(ROUND((I34)/I19,2),0)</f>
        <v/>
      </c>
      <c r="J67" s="151">
        <f>IFERROR(ROUND((J34)/J19,2),0)</f>
        <v/>
      </c>
      <c r="K67" s="151">
        <f>IFERROR(ROUND((K34)/K19,2),0)</f>
        <v/>
      </c>
      <c r="L67" s="151">
        <f>IFERROR(ROUND((L34)/L19,2),0)</f>
        <v/>
      </c>
      <c r="M67" s="148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>
      <c r="A68" s="122" t="inlineStr">
        <is>
          <t xml:space="preserve">   b应付票据</t>
        </is>
      </c>
      <c r="B68" s="135" t="n"/>
      <c r="C68" s="156">
        <f>历资调整后表!D54</f>
        <v/>
      </c>
      <c r="D68" s="156">
        <f>历资调整后表!G54</f>
        <v/>
      </c>
      <c r="E68" s="156">
        <f>历资调整后表!J54</f>
        <v/>
      </c>
      <c r="F68" s="156">
        <f>历资调整后表!M54</f>
        <v/>
      </c>
      <c r="G68" s="151">
        <f>IFERROR(ROUND((G34+F34)/G20,2),0)</f>
        <v/>
      </c>
      <c r="H68" s="151">
        <f>IFERROR(ROUND((H34)/H20,2),0)</f>
        <v/>
      </c>
      <c r="I68" s="151">
        <f>IFERROR(ROUND((I34)/I20,2),0)</f>
        <v/>
      </c>
      <c r="J68" s="151">
        <f>IFERROR(ROUND((J34)/J20,2),0)</f>
        <v/>
      </c>
      <c r="K68" s="151">
        <f>IFERROR(ROUND((K34)/K20,2),0)</f>
        <v/>
      </c>
      <c r="L68" s="151">
        <f>IFERROR(ROUND((L34)/L20,2),0)</f>
        <v/>
      </c>
      <c r="M68" s="148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>
      <c r="A69" s="122" t="inlineStr">
        <is>
          <t xml:space="preserve">   b应付账款</t>
        </is>
      </c>
      <c r="B69" s="135" t="n"/>
      <c r="C69" s="156">
        <f>历资调整后表!D55</f>
        <v/>
      </c>
      <c r="D69" s="156">
        <f>历资调整后表!G55</f>
        <v/>
      </c>
      <c r="E69" s="156">
        <f>历资调整后表!J55</f>
        <v/>
      </c>
      <c r="F69" s="156" t="n"/>
      <c r="G69" s="151">
        <f>IFERROR(ROUND((G34+F34)/G21,2),0)</f>
        <v/>
      </c>
      <c r="H69" s="151">
        <f>IFERROR(ROUND((H34)/H21,2),0)</f>
        <v/>
      </c>
      <c r="I69" s="151">
        <f>IFERROR(ROUND((I34)/I21,2),0)</f>
        <v/>
      </c>
      <c r="J69" s="151">
        <f>IFERROR(ROUND((J34)/J21,2),0)</f>
        <v/>
      </c>
      <c r="K69" s="151">
        <f>IFERROR(ROUND((K34)/K21,2),0)</f>
        <v/>
      </c>
      <c r="L69" s="151">
        <f>IFERROR(ROUND((L34)/L21,2),0)</f>
        <v/>
      </c>
      <c r="M69" s="148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>
      <c r="A70" s="122" t="inlineStr">
        <is>
          <t xml:space="preserve">   a预收款项</t>
        </is>
      </c>
      <c r="B70" s="135" t="n"/>
      <c r="C70" s="156">
        <f>历资调整后表!D56</f>
        <v/>
      </c>
      <c r="D70" s="156">
        <f>历资调整后表!G56</f>
        <v/>
      </c>
      <c r="E70" s="156">
        <f>历资调整后表!J56</f>
        <v/>
      </c>
      <c r="F70" s="156">
        <f>历资调整后表!M56</f>
        <v/>
      </c>
      <c r="G70" s="151">
        <f>IFERROR(ROUND((G33+F33)/G22,2),0)</f>
        <v/>
      </c>
      <c r="H70" s="151">
        <f>IFERROR(ROUND((H33)/H22,2),0)</f>
        <v/>
      </c>
      <c r="I70" s="151">
        <f>IFERROR(ROUND((I33)/I22,2),0)</f>
        <v/>
      </c>
      <c r="J70" s="151">
        <f>IFERROR(ROUND((J33)/J22,2),0)</f>
        <v/>
      </c>
      <c r="K70" s="151">
        <f>IFERROR(ROUND((K33)/K22,2),0)</f>
        <v/>
      </c>
      <c r="L70" s="151">
        <f>IFERROR(ROUND((L33)/L22,2),0)</f>
        <v/>
      </c>
      <c r="M70" s="148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>
      <c r="A71" s="122" t="inlineStr">
        <is>
          <t xml:space="preserve">   a合同负债</t>
        </is>
      </c>
      <c r="B71" s="135" t="n"/>
      <c r="C71" s="156">
        <f>历资调整后表!D57</f>
        <v/>
      </c>
      <c r="D71" s="156">
        <f>历资调整后表!G57</f>
        <v/>
      </c>
      <c r="E71" s="156">
        <f>历资调整后表!J57</f>
        <v/>
      </c>
      <c r="F71" s="156">
        <f>历资调整后表!M57</f>
        <v/>
      </c>
      <c r="G71" s="151">
        <f>IFERROR(ROUND((G33+F33)/G23,2),0)</f>
        <v/>
      </c>
      <c r="H71" s="151">
        <f>IFERROR(ROUND((H33)/H23,2),0)</f>
        <v/>
      </c>
      <c r="I71" s="151">
        <f>IFERROR(ROUND((I33)/I23,2),0)</f>
        <v/>
      </c>
      <c r="J71" s="151">
        <f>IFERROR(ROUND((J33)/J23,2),0)</f>
        <v/>
      </c>
      <c r="K71" s="151">
        <f>IFERROR(ROUND((K33)/K23,2),0)</f>
        <v/>
      </c>
      <c r="L71" s="151">
        <f>IFERROR(ROUND((L33)/L23,2),0)</f>
        <v/>
      </c>
      <c r="M71" s="148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>
      <c r="A72" s="122" t="inlineStr">
        <is>
          <t xml:space="preserve">    应付职工薪酬</t>
        </is>
      </c>
      <c r="B72" s="135" t="n"/>
      <c r="C72" s="156">
        <f>历资调整后表!D62</f>
        <v/>
      </c>
      <c r="D72" s="156">
        <f>历资调整后表!G62</f>
        <v/>
      </c>
      <c r="E72" s="156">
        <f>历资调整后表!J62</f>
        <v/>
      </c>
      <c r="F72" s="156">
        <f>历资调整后表!M62</f>
        <v/>
      </c>
      <c r="G72" s="149" t="n"/>
      <c r="H72" s="149" t="n"/>
      <c r="I72" s="149" t="n"/>
      <c r="J72" s="149" t="n"/>
      <c r="K72" s="149" t="n"/>
      <c r="L72" s="149" t="n"/>
      <c r="M72" s="148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>
      <c r="A73" s="122" t="inlineStr">
        <is>
          <t xml:space="preserve">    应交税费</t>
        </is>
      </c>
      <c r="B73" s="135" t="n"/>
      <c r="C73" s="156">
        <f>历资调整后表!D63</f>
        <v/>
      </c>
      <c r="D73" s="156">
        <f>历资调整后表!G63</f>
        <v/>
      </c>
      <c r="E73" s="156">
        <f>历资调整后表!J63</f>
        <v/>
      </c>
      <c r="F73" s="156">
        <f>历资调整后表!M63-5.286299</f>
        <v/>
      </c>
      <c r="G73" s="151">
        <f>ROUND(G41/6+G35/6+G40/2,4)</f>
        <v/>
      </c>
      <c r="H73" s="151">
        <f>ROUND(H41/12+H35/12+H40/4,4)</f>
        <v/>
      </c>
      <c r="I73" s="151">
        <f>ROUND(I41/12+I35/12+I40/4,4)</f>
        <v/>
      </c>
      <c r="J73" s="151">
        <f>ROUND(J41/12+J35/12+J40/4,4)</f>
        <v/>
      </c>
      <c r="K73" s="151">
        <f>ROUND(K41/12+K35/12+K40/4,4)</f>
        <v/>
      </c>
      <c r="L73" s="151">
        <f>ROUND(L41/12+L35/12+L40/4,4)</f>
        <v/>
      </c>
      <c r="M73" s="148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>
      <c r="A74" s="122" t="inlineStr">
        <is>
          <t xml:space="preserve">    其他应付款（经营性）</t>
        </is>
      </c>
      <c r="B74" s="135" t="n"/>
      <c r="C74" s="156">
        <f>历资调整后表!D64</f>
        <v/>
      </c>
      <c r="D74" s="156">
        <f>历资调整后表!G64</f>
        <v/>
      </c>
      <c r="E74" s="156">
        <f>历资调整后表!J64</f>
        <v/>
      </c>
      <c r="F74" s="156">
        <f>历资调整后表!M64</f>
        <v/>
      </c>
      <c r="G74" s="149" t="n"/>
      <c r="H74" s="149" t="n"/>
      <c r="I74" s="149" t="n"/>
      <c r="J74" s="149" t="n"/>
      <c r="K74" s="149" t="n"/>
      <c r="L74" s="149" t="n"/>
      <c r="M74" s="148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>
      <c r="A75" s="122" t="inlineStr">
        <is>
          <t xml:space="preserve">   a其他流动负债（合同负债对应的增值税）</t>
        </is>
      </c>
      <c r="B75" s="135" t="n"/>
      <c r="C75" s="156">
        <f>历资调整后表!D69</f>
        <v/>
      </c>
      <c r="D75" s="156">
        <f>历资调整后表!G69</f>
        <v/>
      </c>
      <c r="E75" s="156">
        <f>历资调整后表!J69</f>
        <v/>
      </c>
      <c r="F75" s="156">
        <f>历资调整后表!M69</f>
        <v/>
      </c>
      <c r="G75" s="149" t="n"/>
      <c r="H75" s="149" t="n"/>
      <c r="I75" s="149" t="n"/>
      <c r="J75" s="149" t="n"/>
      <c r="K75" s="149" t="n"/>
      <c r="L75" s="149" t="n"/>
      <c r="M75" s="148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>
      <c r="A76" s="136" t="inlineStr">
        <is>
          <t xml:space="preserve">    流动负债合计</t>
        </is>
      </c>
      <c r="B76" s="137" t="n"/>
      <c r="C76" s="150">
        <f>SUM(C68:C75)</f>
        <v/>
      </c>
      <c r="D76" s="150">
        <f>SUM(D68:D75)</f>
        <v/>
      </c>
      <c r="E76" s="150">
        <f>SUM(E68:E75)</f>
        <v/>
      </c>
      <c r="F76" s="150">
        <f>SUM(F67:F75)</f>
        <v/>
      </c>
      <c r="G76" s="150">
        <f>SUM(G67:G75)</f>
        <v/>
      </c>
      <c r="H76" s="150">
        <f>SUM(H67:H75)</f>
        <v/>
      </c>
      <c r="I76" s="150">
        <f>SUM(I67:I75)</f>
        <v/>
      </c>
      <c r="J76" s="150">
        <f>SUM(J67:J75)</f>
        <v/>
      </c>
      <c r="K76" s="150">
        <f>SUM(K67:K75)</f>
        <v/>
      </c>
      <c r="L76" s="150">
        <f>SUM(L67:L75)</f>
        <v/>
      </c>
      <c r="M76" s="171" t="n"/>
      <c r="N76" s="30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>
      <c r="A77" s="136" t="inlineStr">
        <is>
          <t>营运资本</t>
        </is>
      </c>
      <c r="B77" s="137" t="n"/>
      <c r="C77" s="150">
        <f>C65-C76</f>
        <v/>
      </c>
      <c r="D77" s="150">
        <f>D65-D76</f>
        <v/>
      </c>
      <c r="E77" s="150">
        <f>E65-E76</f>
        <v/>
      </c>
      <c r="F77" s="150">
        <f>F65-F76</f>
        <v/>
      </c>
      <c r="G77" s="150">
        <f>G65-G76</f>
        <v/>
      </c>
      <c r="H77" s="150">
        <f>H65-H76</f>
        <v/>
      </c>
      <c r="I77" s="150">
        <f>I65-I76</f>
        <v/>
      </c>
      <c r="J77" s="150">
        <f>J65-J76</f>
        <v/>
      </c>
      <c r="K77" s="150">
        <f>K65-K76</f>
        <v/>
      </c>
      <c r="L77" s="150">
        <f>L65-L76</f>
        <v/>
      </c>
      <c r="M77" s="150">
        <f>L77</f>
        <v/>
      </c>
      <c r="N77" s="30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>
      <c r="A78" s="136" t="inlineStr">
        <is>
          <t>营运资本增加额</t>
        </is>
      </c>
      <c r="B78" s="137" t="n"/>
      <c r="C78" s="150">
        <f>C77-B77</f>
        <v/>
      </c>
      <c r="D78" s="150">
        <f>D77-C77</f>
        <v/>
      </c>
      <c r="E78" s="150">
        <f>E77-D77</f>
        <v/>
      </c>
      <c r="F78" s="150">
        <f>F77-E77</f>
        <v/>
      </c>
      <c r="G78" s="150">
        <f>G77-F77</f>
        <v/>
      </c>
      <c r="H78" s="150">
        <f>H77-G77</f>
        <v/>
      </c>
      <c r="I78" s="150">
        <f>I77-H77</f>
        <v/>
      </c>
      <c r="J78" s="150">
        <f>J77-I77</f>
        <v/>
      </c>
      <c r="K78" s="150">
        <f>K77-J77</f>
        <v/>
      </c>
      <c r="L78" s="150">
        <f>L77-K77</f>
        <v/>
      </c>
      <c r="M78" s="150">
        <f>M77-L77</f>
        <v/>
      </c>
      <c r="N78" s="30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>
      <c r="A80" s="31" t="inlineStr">
        <is>
          <t>占营业收入比例（%）</t>
        </is>
      </c>
      <c r="B80" s="32" t="n"/>
      <c r="C80" s="33">
        <f>ROUND(C77/营业收入表!C17,4)</f>
        <v/>
      </c>
      <c r="D80" s="33">
        <f>ROUND(D77/营业收入表!D17,4)</f>
        <v/>
      </c>
      <c r="E80" s="33">
        <f>ROUND(E77/营业收入表!E17,4)</f>
        <v/>
      </c>
      <c r="F80" s="33">
        <f>ROUND(F77/营业收入表!F17,4)</f>
        <v/>
      </c>
      <c r="G80" s="33">
        <f>ROUND(G77/营业收入表!G17,4)</f>
        <v/>
      </c>
      <c r="H80" s="33">
        <f>ROUND(H77/营业收入表!H17,4)</f>
        <v/>
      </c>
      <c r="I80" s="33">
        <f>ROUND(I77/营业收入表!I17,4)</f>
        <v/>
      </c>
      <c r="J80" s="33">
        <f>ROUND(J77/营业收入表!J17,4)</f>
        <v/>
      </c>
      <c r="K80" s="33">
        <f>ROUND(K77/营业收入表!K17,4)</f>
        <v/>
      </c>
      <c r="L80" s="33">
        <f>ROUND(L77/营业收入表!L17,4)</f>
        <v/>
      </c>
      <c r="M80" s="33">
        <f>ROUND(M77/营业收入表!M17,4)</f>
        <v/>
      </c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>
      <c r="A81" s="31" t="inlineStr">
        <is>
          <t>最低现金保有量核对</t>
        </is>
      </c>
      <c r="B81" s="5" t="n"/>
      <c r="C81" s="5" t="n"/>
      <c r="D81" s="5" t="n"/>
      <c r="E81" s="5" t="n"/>
      <c r="F81" s="174">
        <f>IF(历资表!E7&lt;营运资金表!F52,(历资表!E7-营运资金表!F52)-溢余资产、非经营资产负债表!E26,0)</f>
        <v/>
      </c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</row>
  </sheetData>
  <mergeCells count="14">
    <mergeCell ref="A5:A6"/>
    <mergeCell ref="A50:A51"/>
    <mergeCell ref="C50:F50"/>
    <mergeCell ref="G31:M31"/>
    <mergeCell ref="C31:F31"/>
    <mergeCell ref="A1:M1"/>
    <mergeCell ref="G5:M5"/>
    <mergeCell ref="A2:M2"/>
    <mergeCell ref="A31:A32"/>
    <mergeCell ref="B50:B51"/>
    <mergeCell ref="C5:F5"/>
    <mergeCell ref="G50:M50"/>
    <mergeCell ref="B5:B6"/>
    <mergeCell ref="B31:B3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C224"/>
  <sheetViews>
    <sheetView topLeftCell="A7" workbookViewId="0">
      <selection activeCell="D25" sqref="D25"/>
    </sheetView>
  </sheetViews>
  <sheetFormatPr baseColWidth="8" defaultColWidth="9.109375" defaultRowHeight="14.4"/>
  <cols>
    <col width="35" customWidth="1" style="1" min="1" max="1"/>
    <col hidden="1" width="15" customWidth="1" style="1" min="2" max="2"/>
    <col width="15" customWidth="1" style="1" min="3" max="4"/>
    <col width="70" customWidth="1" style="1" min="5" max="5"/>
    <col width="9.109375" customWidth="1" style="1" min="6" max="6"/>
    <col width="9.109375" customWidth="1" style="1" min="7" max="16384"/>
  </cols>
  <sheetData>
    <row r="1" ht="17.4" customHeight="1">
      <c r="A1" s="119" t="inlineStr">
        <is>
          <t>折现率计算表</t>
        </is>
      </c>
      <c r="F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E3" s="3">
        <f>"金额单位："&amp;项目信息!B8&amp;""</f>
        <v/>
      </c>
    </row>
    <row r="4">
      <c r="A4" s="124" t="inlineStr">
        <is>
          <t>项目</t>
        </is>
      </c>
      <c r="B4" s="124" t="n"/>
      <c r="C4" s="124" t="inlineStr">
        <is>
          <t>值</t>
        </is>
      </c>
      <c r="D4" s="124" t="inlineStr">
        <is>
          <t>取整位数</t>
        </is>
      </c>
      <c r="E4" s="124" t="inlineStr">
        <is>
          <t>说明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</row>
    <row r="5">
      <c r="A5" s="122" t="inlineStr">
        <is>
          <t>经营性资产现值之和</t>
        </is>
      </c>
      <c r="B5" s="135" t="n"/>
      <c r="C5" s="175">
        <f>净现金流计算表!G40</f>
        <v/>
      </c>
      <c r="D5" s="7" t="n"/>
      <c r="E5" s="13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</row>
    <row r="6">
      <c r="A6" s="122" t="inlineStr">
        <is>
          <t>D</t>
        </is>
      </c>
      <c r="B6" s="135" t="n"/>
      <c r="C6" s="148" t="n"/>
      <c r="D6" s="7" t="n"/>
      <c r="E6" s="135" t="inlineStr">
        <is>
          <t>被评估企业债务资本市场价值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</row>
    <row r="7">
      <c r="A7" s="122" t="inlineStr">
        <is>
          <t>E</t>
        </is>
      </c>
      <c r="B7" s="135" t="n"/>
      <c r="C7" s="148" t="n"/>
      <c r="D7" s="7" t="n"/>
      <c r="E7" s="135" t="inlineStr">
        <is>
          <t>被评估企业权益资本市场价值</t>
        </is>
      </c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</row>
    <row r="8">
      <c r="A8" s="122" t="inlineStr">
        <is>
          <t>T</t>
        </is>
      </c>
      <c r="B8" s="135" t="n"/>
      <c r="C8" s="12" t="n"/>
      <c r="D8" s="7" t="n"/>
      <c r="E8" s="135" t="inlineStr">
        <is>
          <t>被评估企业所得税率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</row>
    <row r="9">
      <c r="A9" s="7" t="n"/>
      <c r="B9" s="7" t="n"/>
      <c r="C9" s="7" t="n"/>
      <c r="D9" s="7" t="n"/>
      <c r="E9" s="7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</row>
    <row r="10">
      <c r="A10" s="122" t="inlineStr">
        <is>
          <t>βu</t>
        </is>
      </c>
      <c r="B10" s="135" t="n"/>
      <c r="C10" s="135" t="n"/>
      <c r="D10" s="7" t="n"/>
      <c r="E10" s="135" t="inlineStr">
        <is>
          <t>行业可比公司βu</t>
        </is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</row>
    <row r="11">
      <c r="A11" s="122" t="inlineStr">
        <is>
          <t>D/E</t>
        </is>
      </c>
      <c r="B11" s="135" t="n"/>
      <c r="C11" s="21">
        <f>ROUND(C22/C23,4)</f>
        <v/>
      </c>
      <c r="D11" s="7" t="n"/>
      <c r="E11" s="135" t="inlineStr">
        <is>
          <t>可比公司资本结构均值</t>
        </is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</row>
    <row r="12">
      <c r="A12" s="122" t="inlineStr">
        <is>
          <t>βL</t>
        </is>
      </c>
      <c r="B12" s="135" t="n"/>
      <c r="C12" s="21">
        <f>ROUND(C10*(1+(1-C8)*C11),4)</f>
        <v/>
      </c>
      <c r="D12" s="7" t="n"/>
      <c r="E12" s="135" t="inlineStr">
        <is>
          <t>βL=βu×(1+(1-T)×D/E)</t>
        </is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</row>
    <row r="13">
      <c r="A13" s="7" t="n"/>
      <c r="B13" s="7" t="n"/>
      <c r="C13" s="7" t="n"/>
      <c r="D13" s="7" t="n"/>
      <c r="E13" s="7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</row>
    <row r="14">
      <c r="A14" s="122" t="inlineStr">
        <is>
          <t>Rf</t>
        </is>
      </c>
      <c r="B14" s="135" t="n"/>
      <c r="C14" s="12" t="n"/>
      <c r="D14" s="7" t="n"/>
      <c r="E14" s="135" t="inlineStr">
        <is>
          <t>基准日近期十年期国债平均收益率</t>
        </is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</row>
    <row r="15">
      <c r="A15" s="122" t="inlineStr">
        <is>
          <t>ERP</t>
        </is>
      </c>
      <c r="B15" s="135" t="n"/>
      <c r="C15" s="12" t="n"/>
      <c r="D15" s="7" t="n"/>
      <c r="E15" s="135" t="inlineStr">
        <is>
          <t>市场风险超额回报率</t>
        </is>
      </c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</row>
    <row r="16">
      <c r="A16" s="122" t="inlineStr">
        <is>
          <t>企业特定风险</t>
        </is>
      </c>
      <c r="B16" s="135" t="n"/>
      <c r="C16" s="12" t="n"/>
      <c r="D16" s="7" t="n"/>
      <c r="E16" s="135" t="inlineStr">
        <is>
          <t>企业特定风险=企业关键合同风险+企业关键人风险+其他企业特定风险</t>
        </is>
      </c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</row>
    <row r="17">
      <c r="A17" s="122" t="inlineStr">
        <is>
          <t>权益资本成本Re</t>
        </is>
      </c>
      <c r="B17" s="135" t="n"/>
      <c r="C17" s="22">
        <f>ROUND(C14+C12*C15+C16,4)</f>
        <v/>
      </c>
      <c r="D17" s="7" t="n"/>
      <c r="E17" s="135" t="inlineStr">
        <is>
          <t>CAPM</t>
        </is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</row>
    <row r="18">
      <c r="A18" s="7" t="n"/>
      <c r="B18" s="7" t="n"/>
      <c r="C18" s="7" t="n"/>
      <c r="D18" s="7" t="n"/>
      <c r="E18" s="7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</row>
    <row r="19">
      <c r="A19" s="122" t="inlineStr">
        <is>
          <t>税前债务资本成本</t>
        </is>
      </c>
      <c r="B19" s="135" t="n"/>
      <c r="C19" s="12" t="n"/>
      <c r="D19" s="7" t="n"/>
      <c r="E19" s="135" t="inlineStr">
        <is>
          <t>基准日5年期贷款利率</t>
        </is>
      </c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</row>
    <row r="20">
      <c r="A20" s="122" t="inlineStr">
        <is>
          <t>税后债务资本成本Rd</t>
        </is>
      </c>
      <c r="B20" s="135" t="n"/>
      <c r="C20" s="22">
        <f>ROUND(C19*(1-C8),4)</f>
        <v/>
      </c>
      <c r="D20" s="7" t="n"/>
      <c r="E20" s="13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</row>
    <row r="21">
      <c r="A21" s="7" t="n"/>
      <c r="B21" s="7" t="n"/>
      <c r="C21" s="7" t="n"/>
      <c r="D21" s="7" t="n"/>
      <c r="E21" s="7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</row>
    <row r="22">
      <c r="A22" s="122" t="inlineStr">
        <is>
          <t>D/(D+E)</t>
        </is>
      </c>
      <c r="B22" s="135" t="n"/>
      <c r="C22" s="23" t="n"/>
      <c r="D22" s="7" t="n"/>
      <c r="E22" s="135" t="inlineStr">
        <is>
          <t>可比公司债务资本权重均值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</row>
    <row r="23">
      <c r="A23" s="122" t="inlineStr">
        <is>
          <t>E/(D+E)</t>
        </is>
      </c>
      <c r="B23" s="135" t="n"/>
      <c r="C23" s="22">
        <f>ROUND(1-C22,4)</f>
        <v/>
      </c>
      <c r="D23" s="7" t="n"/>
      <c r="E23" s="135" t="inlineStr">
        <is>
          <t>可比公司权益资本权重均值</t>
        </is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</row>
    <row r="24">
      <c r="A24" s="122" t="inlineStr">
        <is>
          <t>加权平均资本成本</t>
        </is>
      </c>
      <c r="B24" s="135" t="n"/>
      <c r="C24" s="22">
        <f>ROUND(C17*C23+C20*C22,D24)</f>
        <v/>
      </c>
      <c r="D24" s="135" t="n"/>
      <c r="E24" s="135" t="inlineStr">
        <is>
          <t>WACC</t>
        </is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</row>
    <row r="27">
      <c r="A27" s="24" t="inlineStr">
        <is>
          <t>说明：</t>
        </is>
      </c>
      <c r="B27" s="25" t="n"/>
      <c r="C27" s="25" t="n"/>
      <c r="D27" s="25" t="n"/>
      <c r="E27" s="2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</row>
    <row r="28">
      <c r="A28" s="25" t="inlineStr">
        <is>
          <t>1、如使用“被评估企业资本结构”需使用菜单栏的【迭代计算按钮】迭代计算折现率，直到“经营性资产现值之和”和“折现率”收敛到固定值；</t>
        </is>
      </c>
      <c r="B28" s="25" t="n"/>
      <c r="C28" s="25" t="n"/>
      <c r="D28" s="25" t="n"/>
      <c r="E28" s="2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</row>
    <row r="29">
      <c r="A29" s="25" t="inlineStr">
        <is>
          <t>2、如项目类型为“财报”且折现率的计算方式为“迭代（税前估值=税后估值）”，需在计算出WACC后使用菜单栏的【折现率求解按钮】计算税前折现率；</t>
        </is>
      </c>
      <c r="B29" s="25" t="n"/>
      <c r="C29" s="25" t="n"/>
      <c r="D29" s="25" t="n"/>
      <c r="E29" s="2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</row>
    <row r="30">
      <c r="A30" s="25" t="inlineStr">
        <is>
          <t>3、如采用“变动折现率/分段折现”，需在C列计算出每一期（通常为改变税率）的折现率后按预测期复制到G列开始的右侧表中。</t>
        </is>
      </c>
      <c r="B30" s="25" t="n"/>
      <c r="C30" s="25" t="n"/>
      <c r="D30" s="25" t="n"/>
      <c r="E30" s="2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2">
    <mergeCell ref="A2:E2"/>
    <mergeCell ref="A1:E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F271"/>
  <sheetViews>
    <sheetView workbookViewId="0">
      <pane xSplit="1" ySplit="4" topLeftCell="B26" activePane="bottomRight" state="frozen"/>
      <selection pane="topRight" activeCell="A1" sqref="A1"/>
      <selection pane="bottomLeft" activeCell="A1" sqref="A1"/>
      <selection pane="bottomRight" activeCell="B50" sqref="B50:E50"/>
    </sheetView>
  </sheetViews>
  <sheetFormatPr baseColWidth="8" defaultColWidth="9.109375" defaultRowHeight="14.4"/>
  <cols>
    <col width="35" customWidth="1" style="1" min="1" max="1"/>
    <col width="15" customWidth="1" style="1" min="2" max="6"/>
    <col width="9.109375" customWidth="1" style="1" min="7" max="7"/>
    <col width="9.109375" customWidth="1" style="1" min="8" max="16384"/>
  </cols>
  <sheetData>
    <row r="1" ht="17.4" customHeight="1">
      <c r="A1" s="119" t="inlineStr">
        <is>
          <t>溢余（非经营）资产、负债</t>
        </is>
      </c>
      <c r="G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F3" s="3">
        <f>"金额单位："&amp;项目信息!B8&amp;""</f>
        <v/>
      </c>
    </row>
    <row r="4">
      <c r="A4" s="124" t="inlineStr">
        <is>
          <t>类别</t>
        </is>
      </c>
      <c r="B4" s="124" t="inlineStr">
        <is>
          <t>科目</t>
        </is>
      </c>
      <c r="C4" s="124" t="inlineStr">
        <is>
          <t>内容</t>
        </is>
      </c>
      <c r="D4" s="124" t="inlineStr">
        <is>
          <t>账面金额</t>
        </is>
      </c>
      <c r="E4" s="124" t="inlineStr">
        <is>
          <t>评估价值</t>
        </is>
      </c>
      <c r="F4" s="124" t="inlineStr">
        <is>
          <t>备注</t>
        </is>
      </c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</row>
    <row r="5">
      <c r="A5" s="122" t="inlineStr">
        <is>
          <t>溢余资产：</t>
        </is>
      </c>
      <c r="B5" s="7" t="n"/>
      <c r="C5" s="7" t="n"/>
      <c r="D5" s="148" t="n"/>
      <c r="E5" s="148" t="n"/>
      <c r="F5" s="7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</row>
    <row r="6">
      <c r="A6" s="7" t="n"/>
      <c r="B6" s="135" t="inlineStr">
        <is>
          <t>货币资金</t>
        </is>
      </c>
      <c r="C6" s="135" t="inlineStr">
        <is>
          <t>溢余资金</t>
        </is>
      </c>
      <c r="D6" s="149" t="n"/>
      <c r="E6" s="149" t="n"/>
      <c r="F6" s="13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</row>
    <row r="7">
      <c r="A7" s="7" t="n"/>
      <c r="B7" s="135" t="n"/>
      <c r="C7" s="135" t="n"/>
      <c r="D7" s="149" t="n"/>
      <c r="E7" s="149" t="n"/>
      <c r="F7" s="13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</row>
    <row r="8">
      <c r="A8" s="7" t="n"/>
      <c r="B8" s="135" t="n"/>
      <c r="C8" s="135" t="n"/>
      <c r="D8" s="149" t="n"/>
      <c r="E8" s="149" t="n"/>
      <c r="F8" s="13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</row>
    <row r="9">
      <c r="A9" s="7" t="n"/>
      <c r="B9" s="135" t="n"/>
      <c r="C9" s="135" t="n"/>
      <c r="D9" s="149" t="n"/>
      <c r="E9" s="149" t="n"/>
      <c r="F9" s="13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</row>
    <row r="10">
      <c r="A10" s="7" t="n"/>
      <c r="B10" s="135" t="n"/>
      <c r="C10" s="135" t="n"/>
      <c r="D10" s="149" t="n"/>
      <c r="E10" s="149" t="n"/>
      <c r="F10" s="13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</row>
    <row r="11" hidden="1">
      <c r="A11" s="7" t="n"/>
      <c r="B11" s="135" t="n"/>
      <c r="C11" s="135" t="n"/>
      <c r="D11" s="149" t="n"/>
      <c r="E11" s="149" t="n"/>
      <c r="F11" s="13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</row>
    <row r="12" hidden="1">
      <c r="A12" s="7" t="n"/>
      <c r="B12" s="135" t="n"/>
      <c r="C12" s="135" t="n"/>
      <c r="D12" s="149" t="n"/>
      <c r="E12" s="149" t="n"/>
      <c r="F12" s="13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</row>
    <row r="13" hidden="1">
      <c r="A13" s="7" t="n"/>
      <c r="B13" s="135" t="n"/>
      <c r="C13" s="135" t="n"/>
      <c r="D13" s="149" t="n"/>
      <c r="E13" s="149" t="n"/>
      <c r="F13" s="13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</row>
    <row r="14" hidden="1">
      <c r="A14" s="7" t="n"/>
      <c r="B14" s="135" t="n"/>
      <c r="C14" s="135" t="n"/>
      <c r="D14" s="149" t="n"/>
      <c r="E14" s="149" t="n"/>
      <c r="F14" s="13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</row>
    <row r="15" hidden="1">
      <c r="A15" s="7" t="n"/>
      <c r="B15" s="135" t="n"/>
      <c r="C15" s="135" t="n"/>
      <c r="D15" s="149" t="n"/>
      <c r="E15" s="149" t="n"/>
      <c r="F15" s="13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</row>
    <row r="16" hidden="1">
      <c r="A16" s="7" t="n"/>
      <c r="B16" s="135" t="n"/>
      <c r="C16" s="135" t="n"/>
      <c r="D16" s="149" t="n"/>
      <c r="E16" s="149" t="n"/>
      <c r="F16" s="13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</row>
    <row r="17" hidden="1">
      <c r="A17" s="7" t="n"/>
      <c r="B17" s="135" t="n"/>
      <c r="C17" s="135" t="n"/>
      <c r="D17" s="149" t="n"/>
      <c r="E17" s="149" t="n"/>
      <c r="F17" s="13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</row>
    <row r="18" hidden="1">
      <c r="A18" s="7" t="n"/>
      <c r="B18" s="135" t="n"/>
      <c r="C18" s="135" t="n"/>
      <c r="D18" s="149" t="n"/>
      <c r="E18" s="149" t="n"/>
      <c r="F18" s="13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</row>
    <row r="19" hidden="1">
      <c r="A19" s="7" t="n"/>
      <c r="B19" s="135" t="n"/>
      <c r="C19" s="135" t="n"/>
      <c r="D19" s="149" t="n"/>
      <c r="E19" s="149" t="n"/>
      <c r="F19" s="13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</row>
    <row r="20" hidden="1">
      <c r="A20" s="7" t="n"/>
      <c r="B20" s="135" t="n"/>
      <c r="C20" s="135" t="n"/>
      <c r="D20" s="149" t="n"/>
      <c r="E20" s="149" t="n"/>
      <c r="F20" s="13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</row>
    <row r="21" hidden="1">
      <c r="A21" s="7" t="n"/>
      <c r="B21" s="135" t="n"/>
      <c r="C21" s="135" t="n"/>
      <c r="D21" s="149" t="n"/>
      <c r="E21" s="149" t="n"/>
      <c r="F21" s="13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</row>
    <row r="22" hidden="1">
      <c r="A22" s="7" t="n"/>
      <c r="B22" s="135" t="n"/>
      <c r="C22" s="135" t="n"/>
      <c r="D22" s="149" t="n"/>
      <c r="E22" s="149" t="n"/>
      <c r="F22" s="13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</row>
    <row r="23" hidden="1">
      <c r="A23" s="7" t="n"/>
      <c r="B23" s="135" t="n"/>
      <c r="C23" s="135" t="n"/>
      <c r="D23" s="149" t="n"/>
      <c r="E23" s="149" t="n"/>
      <c r="F23" s="13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</row>
    <row r="24" hidden="1">
      <c r="A24" s="7" t="n"/>
      <c r="B24" s="135" t="n"/>
      <c r="C24" s="135" t="n"/>
      <c r="D24" s="149" t="n"/>
      <c r="E24" s="149" t="n"/>
      <c r="F24" s="13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</row>
    <row r="25" hidden="1">
      <c r="A25" s="7" t="n"/>
      <c r="B25" s="135" t="n"/>
      <c r="C25" s="135" t="n"/>
      <c r="D25" s="149" t="n"/>
      <c r="E25" s="149" t="n"/>
      <c r="F25" s="13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</row>
    <row r="26">
      <c r="A26" s="14" t="n"/>
      <c r="B26" s="136" t="inlineStr">
        <is>
          <t>溢余资产合计</t>
        </is>
      </c>
      <c r="C26" s="137" t="n"/>
      <c r="D26" s="150">
        <f>SUM(D6:D25)</f>
        <v/>
      </c>
      <c r="E26" s="150">
        <f>SUM(E6:E25)</f>
        <v/>
      </c>
      <c r="F26" s="137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</row>
    <row r="27">
      <c r="A27" s="122" t="inlineStr">
        <is>
          <t>非经营性资产：</t>
        </is>
      </c>
      <c r="B27" s="7" t="n"/>
      <c r="C27" s="7" t="n"/>
      <c r="D27" s="148" t="n"/>
      <c r="E27" s="148" t="n"/>
      <c r="F27" s="7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</row>
    <row r="28">
      <c r="A28" s="7" t="n"/>
      <c r="B28" s="135" t="inlineStr">
        <is>
          <t>其他应收</t>
        </is>
      </c>
      <c r="C28" s="135" t="inlineStr">
        <is>
          <t>汇算清缴退税</t>
        </is>
      </c>
      <c r="D28" s="149" t="n"/>
      <c r="E28" s="149" t="n"/>
      <c r="F28" s="13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</row>
    <row r="29">
      <c r="A29" s="7" t="n"/>
      <c r="B29" s="135" t="n"/>
      <c r="C29" s="135" t="n"/>
      <c r="D29" s="149" t="n"/>
      <c r="E29" s="149" t="n"/>
      <c r="F29" s="13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</row>
    <row r="30">
      <c r="A30" s="7" t="n"/>
      <c r="B30" s="135" t="n"/>
      <c r="C30" s="135" t="n"/>
      <c r="D30" s="149" t="n"/>
      <c r="E30" s="149" t="n"/>
      <c r="F30" s="13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</row>
    <row r="31">
      <c r="A31" s="7" t="n"/>
      <c r="B31" s="135" t="n"/>
      <c r="C31" s="135" t="n"/>
      <c r="D31" s="149" t="n"/>
      <c r="E31" s="149" t="n"/>
      <c r="F31" s="13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</row>
    <row r="32">
      <c r="A32" s="7" t="n"/>
      <c r="B32" s="135" t="n"/>
      <c r="C32" s="135" t="n"/>
      <c r="D32" s="149" t="n"/>
      <c r="E32" s="149" t="n"/>
      <c r="F32" s="13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</row>
    <row r="33" hidden="1">
      <c r="A33" s="7" t="n"/>
      <c r="B33" s="135" t="n"/>
      <c r="C33" s="135" t="n"/>
      <c r="D33" s="149" t="n"/>
      <c r="E33" s="149" t="n"/>
      <c r="F33" s="13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</row>
    <row r="34" hidden="1">
      <c r="A34" s="7" t="n"/>
      <c r="B34" s="135" t="n"/>
      <c r="C34" s="135" t="n"/>
      <c r="D34" s="149" t="n"/>
      <c r="E34" s="149" t="n"/>
      <c r="F34" s="13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</row>
    <row r="35" hidden="1">
      <c r="A35" s="7" t="n"/>
      <c r="B35" s="135" t="n"/>
      <c r="C35" s="135" t="n"/>
      <c r="D35" s="149" t="n"/>
      <c r="E35" s="149" t="n"/>
      <c r="F35" s="13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</row>
    <row r="36" hidden="1">
      <c r="A36" s="7" t="n"/>
      <c r="B36" s="135" t="n"/>
      <c r="C36" s="135" t="n"/>
      <c r="D36" s="149" t="n"/>
      <c r="E36" s="149" t="n"/>
      <c r="F36" s="13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</row>
    <row r="37" hidden="1">
      <c r="A37" s="7" t="n"/>
      <c r="B37" s="135" t="n"/>
      <c r="C37" s="135" t="n"/>
      <c r="D37" s="149" t="n"/>
      <c r="E37" s="149" t="n"/>
      <c r="F37" s="13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</row>
    <row r="38" hidden="1">
      <c r="A38" s="7" t="n"/>
      <c r="B38" s="135" t="n"/>
      <c r="C38" s="135" t="n"/>
      <c r="D38" s="149" t="n"/>
      <c r="E38" s="149" t="n"/>
      <c r="F38" s="13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</row>
    <row r="39" hidden="1">
      <c r="A39" s="7" t="n"/>
      <c r="B39" s="135" t="n"/>
      <c r="C39" s="135" t="n"/>
      <c r="D39" s="149" t="n"/>
      <c r="E39" s="149" t="n"/>
      <c r="F39" s="13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</row>
    <row r="40" hidden="1">
      <c r="A40" s="7" t="n"/>
      <c r="B40" s="135" t="n"/>
      <c r="C40" s="135" t="n"/>
      <c r="D40" s="149" t="n"/>
      <c r="E40" s="149" t="n"/>
      <c r="F40" s="13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</row>
    <row r="41" hidden="1">
      <c r="A41" s="7" t="n"/>
      <c r="B41" s="135" t="n"/>
      <c r="C41" s="135" t="n"/>
      <c r="D41" s="149" t="n"/>
      <c r="E41" s="149" t="n"/>
      <c r="F41" s="13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</row>
    <row r="42" hidden="1">
      <c r="A42" s="7" t="n"/>
      <c r="B42" s="135" t="n"/>
      <c r="C42" s="135" t="n"/>
      <c r="D42" s="149" t="n"/>
      <c r="E42" s="149" t="n"/>
      <c r="F42" s="13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</row>
    <row r="43" hidden="1">
      <c r="A43" s="7" t="n"/>
      <c r="B43" s="135" t="n"/>
      <c r="C43" s="135" t="n"/>
      <c r="D43" s="149" t="n"/>
      <c r="E43" s="149" t="n"/>
      <c r="F43" s="13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</row>
    <row r="44" hidden="1">
      <c r="A44" s="7" t="n"/>
      <c r="B44" s="135" t="n"/>
      <c r="C44" s="135" t="n"/>
      <c r="D44" s="149" t="n"/>
      <c r="E44" s="149" t="n"/>
      <c r="F44" s="13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</row>
    <row r="45" hidden="1">
      <c r="A45" s="7" t="n"/>
      <c r="B45" s="135" t="n"/>
      <c r="C45" s="135" t="n"/>
      <c r="D45" s="149" t="n"/>
      <c r="E45" s="149" t="n"/>
      <c r="F45" s="13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</row>
    <row r="46" hidden="1">
      <c r="A46" s="7" t="n"/>
      <c r="B46" s="135" t="n"/>
      <c r="C46" s="135" t="n"/>
      <c r="D46" s="149" t="n"/>
      <c r="E46" s="149" t="n"/>
      <c r="F46" s="13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</row>
    <row r="47" hidden="1">
      <c r="A47" s="7" t="n"/>
      <c r="B47" s="135" t="n"/>
      <c r="C47" s="135" t="n"/>
      <c r="D47" s="149" t="n"/>
      <c r="E47" s="149" t="n"/>
      <c r="F47" s="13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</row>
    <row r="48">
      <c r="A48" s="14" t="n"/>
      <c r="B48" s="136" t="inlineStr">
        <is>
          <t>非经营性资产合计</t>
        </is>
      </c>
      <c r="C48" s="137" t="n"/>
      <c r="D48" s="150">
        <f>SUM(D28:D47)</f>
        <v/>
      </c>
      <c r="E48" s="150">
        <f>SUM(E28:E47)</f>
        <v/>
      </c>
      <c r="F48" s="137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</row>
    <row r="49">
      <c r="A49" s="122" t="inlineStr">
        <is>
          <t>非经营性负债：</t>
        </is>
      </c>
      <c r="B49" s="7" t="n"/>
      <c r="C49" s="7" t="n"/>
      <c r="D49" s="148" t="n"/>
      <c r="E49" s="148" t="n"/>
      <c r="F49" s="7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</row>
    <row r="50">
      <c r="A50" s="7" t="n"/>
      <c r="B50" s="135" t="inlineStr">
        <is>
          <t>应付股利</t>
        </is>
      </c>
      <c r="C50" s="135" t="n"/>
      <c r="D50" s="149" t="n"/>
      <c r="E50" s="149" t="n"/>
      <c r="F50" s="13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</row>
    <row r="51">
      <c r="A51" s="7" t="n"/>
      <c r="B51" s="135" t="n"/>
      <c r="C51" s="135" t="n"/>
      <c r="D51" s="149" t="n"/>
      <c r="E51" s="149" t="n"/>
      <c r="F51" s="13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</row>
    <row r="52">
      <c r="A52" s="7" t="n"/>
      <c r="B52" s="135" t="n"/>
      <c r="C52" s="135" t="n"/>
      <c r="D52" s="149" t="n"/>
      <c r="E52" s="149" t="n"/>
      <c r="F52" s="13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</row>
    <row r="53">
      <c r="A53" s="7" t="n"/>
      <c r="B53" s="135" t="n"/>
      <c r="C53" s="135" t="n"/>
      <c r="D53" s="149" t="n"/>
      <c r="E53" s="149" t="n"/>
      <c r="F53" s="13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</row>
    <row r="54">
      <c r="A54" s="7" t="n"/>
      <c r="B54" s="135" t="n"/>
      <c r="C54" s="135" t="n"/>
      <c r="D54" s="149" t="n"/>
      <c r="E54" s="149" t="n"/>
      <c r="F54" s="13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</row>
    <row r="55" hidden="1">
      <c r="A55" s="7" t="n"/>
      <c r="B55" s="135" t="n"/>
      <c r="C55" s="135" t="n"/>
      <c r="D55" s="149" t="n"/>
      <c r="E55" s="149" t="n"/>
      <c r="F55" s="13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</row>
    <row r="56" hidden="1">
      <c r="A56" s="7" t="n"/>
      <c r="B56" s="135" t="n"/>
      <c r="C56" s="135" t="n"/>
      <c r="D56" s="149" t="n"/>
      <c r="E56" s="149" t="n"/>
      <c r="F56" s="13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</row>
    <row r="57" hidden="1">
      <c r="A57" s="7" t="n"/>
      <c r="B57" s="135" t="n"/>
      <c r="C57" s="135" t="n"/>
      <c r="D57" s="149" t="n"/>
      <c r="E57" s="149" t="n"/>
      <c r="F57" s="13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</row>
    <row r="58" hidden="1">
      <c r="A58" s="7" t="n"/>
      <c r="B58" s="135" t="n"/>
      <c r="C58" s="135" t="n"/>
      <c r="D58" s="149" t="n"/>
      <c r="E58" s="149" t="n"/>
      <c r="F58" s="13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</row>
    <row r="59" hidden="1">
      <c r="A59" s="7" t="n"/>
      <c r="B59" s="135" t="n"/>
      <c r="C59" s="135" t="n"/>
      <c r="D59" s="149" t="n"/>
      <c r="E59" s="149" t="n"/>
      <c r="F59" s="13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</row>
    <row r="60" hidden="1">
      <c r="A60" s="7" t="n"/>
      <c r="B60" s="135" t="n"/>
      <c r="C60" s="135" t="n"/>
      <c r="D60" s="149" t="n"/>
      <c r="E60" s="149" t="n"/>
      <c r="F60" s="13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</row>
    <row r="61" hidden="1">
      <c r="A61" s="7" t="n"/>
      <c r="B61" s="135" t="n"/>
      <c r="C61" s="135" t="n"/>
      <c r="D61" s="149" t="n"/>
      <c r="E61" s="149" t="n"/>
      <c r="F61" s="13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</row>
    <row r="62" hidden="1">
      <c r="A62" s="7" t="n"/>
      <c r="B62" s="135" t="n"/>
      <c r="C62" s="135" t="n"/>
      <c r="D62" s="149" t="n"/>
      <c r="E62" s="149" t="n"/>
      <c r="F62" s="13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</row>
    <row r="63" hidden="1">
      <c r="A63" s="7" t="n"/>
      <c r="B63" s="135" t="n"/>
      <c r="C63" s="135" t="n"/>
      <c r="D63" s="149" t="n"/>
      <c r="E63" s="149" t="n"/>
      <c r="F63" s="13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</row>
    <row r="64" hidden="1">
      <c r="A64" s="7" t="n"/>
      <c r="B64" s="135" t="n"/>
      <c r="C64" s="135" t="n"/>
      <c r="D64" s="149" t="n"/>
      <c r="E64" s="149" t="n"/>
      <c r="F64" s="13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</row>
    <row r="65" hidden="1">
      <c r="A65" s="7" t="n"/>
      <c r="B65" s="135" t="n"/>
      <c r="C65" s="135" t="n"/>
      <c r="D65" s="149" t="n"/>
      <c r="E65" s="149" t="n"/>
      <c r="F65" s="13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</row>
    <row r="66" hidden="1">
      <c r="A66" s="7" t="n"/>
      <c r="B66" s="135" t="n"/>
      <c r="C66" s="135" t="n"/>
      <c r="D66" s="149" t="n"/>
      <c r="E66" s="149" t="n"/>
      <c r="F66" s="13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</row>
    <row r="67" hidden="1">
      <c r="A67" s="7" t="n"/>
      <c r="B67" s="135" t="n"/>
      <c r="C67" s="135" t="n"/>
      <c r="D67" s="149" t="n"/>
      <c r="E67" s="149" t="n"/>
      <c r="F67" s="13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</row>
    <row r="68" hidden="1">
      <c r="A68" s="7" t="n"/>
      <c r="B68" s="135" t="n"/>
      <c r="C68" s="135" t="n"/>
      <c r="D68" s="149" t="n"/>
      <c r="E68" s="149" t="n"/>
      <c r="F68" s="13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</row>
    <row r="69" hidden="1">
      <c r="A69" s="7" t="n"/>
      <c r="B69" s="135" t="n"/>
      <c r="C69" s="135" t="n"/>
      <c r="D69" s="149" t="n"/>
      <c r="E69" s="149" t="n"/>
      <c r="F69" s="13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</row>
    <row r="70">
      <c r="A70" s="14" t="n"/>
      <c r="B70" s="136" t="inlineStr">
        <is>
          <t>非经营性负债合计</t>
        </is>
      </c>
      <c r="C70" s="137" t="n"/>
      <c r="D70" s="150">
        <f>SUM(D50:D69)</f>
        <v/>
      </c>
      <c r="E70" s="150">
        <f>SUM(E50:E69)</f>
        <v/>
      </c>
      <c r="F70" s="137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</row>
    <row r="71">
      <c r="A71" s="136" t="inlineStr">
        <is>
          <t>非经营性资产、负债净值</t>
        </is>
      </c>
      <c r="B71" s="137" t="n"/>
      <c r="C71" s="137" t="n"/>
      <c r="D71" s="150">
        <f>D48-D70</f>
        <v/>
      </c>
      <c r="E71" s="150">
        <f>E48-E70</f>
        <v/>
      </c>
      <c r="F71" s="137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2">
    <mergeCell ref="A2:F2"/>
    <mergeCell ref="A1:F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255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6" sqref="B6"/>
    </sheetView>
  </sheetViews>
  <sheetFormatPr baseColWidth="8" defaultColWidth="9.109375" defaultRowHeight="14.4"/>
  <cols>
    <col width="35" customWidth="1" style="1" min="1" max="1"/>
    <col width="15" customWidth="1" style="1" min="2" max="5"/>
    <col width="9.109375" customWidth="1" style="1" min="6" max="6"/>
    <col width="9.109375" customWidth="1" style="1" min="7" max="16384"/>
  </cols>
  <sheetData>
    <row r="1" ht="17.4" customHeight="1">
      <c r="A1" s="119" t="inlineStr">
        <is>
          <t>长期股权投资</t>
        </is>
      </c>
      <c r="F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E3" s="3">
        <f>"金额单位："&amp;项目信息!B8&amp;""</f>
        <v/>
      </c>
    </row>
    <row r="4">
      <c r="A4" s="124" t="inlineStr">
        <is>
          <t>被投资单位</t>
        </is>
      </c>
      <c r="B4" s="124" t="inlineStr">
        <is>
          <t>核算方法</t>
        </is>
      </c>
      <c r="C4" s="124" t="inlineStr">
        <is>
          <t>账面金额</t>
        </is>
      </c>
      <c r="D4" s="124" t="inlineStr">
        <is>
          <t>评估价值</t>
        </is>
      </c>
      <c r="E4" s="124" t="inlineStr">
        <is>
          <t>备注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</row>
    <row r="5">
      <c r="A5" s="135" t="n"/>
      <c r="B5" s="135" t="inlineStr">
        <is>
          <t>权益法</t>
        </is>
      </c>
      <c r="C5" s="149" t="n"/>
      <c r="D5" s="149" t="n"/>
      <c r="E5" s="13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</row>
    <row r="6">
      <c r="A6" s="135" t="n"/>
      <c r="B6" s="135" t="n"/>
      <c r="C6" s="149" t="n"/>
      <c r="D6" s="149" t="n"/>
      <c r="E6" s="13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</row>
    <row r="7">
      <c r="A7" s="135" t="n"/>
      <c r="B7" s="135" t="n"/>
      <c r="C7" s="149" t="n"/>
      <c r="D7" s="149" t="n"/>
      <c r="E7" s="13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</row>
    <row r="8">
      <c r="A8" s="135" t="n"/>
      <c r="B8" s="135" t="n"/>
      <c r="C8" s="149" t="n"/>
      <c r="D8" s="149" t="n"/>
      <c r="E8" s="13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</row>
    <row r="9">
      <c r="A9" s="135" t="n"/>
      <c r="B9" s="135" t="n"/>
      <c r="C9" s="149" t="n"/>
      <c r="D9" s="149" t="n"/>
      <c r="E9" s="13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</row>
    <row r="10">
      <c r="A10" s="135" t="n"/>
      <c r="B10" s="135" t="n"/>
      <c r="C10" s="149" t="n"/>
      <c r="D10" s="149" t="n"/>
      <c r="E10" s="13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</row>
    <row r="11">
      <c r="A11" s="135" t="n"/>
      <c r="B11" s="135" t="n"/>
      <c r="C11" s="149" t="n"/>
      <c r="D11" s="149" t="n"/>
      <c r="E11" s="13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</row>
    <row r="12">
      <c r="A12" s="135" t="n"/>
      <c r="B12" s="135" t="n"/>
      <c r="C12" s="149" t="n"/>
      <c r="D12" s="149" t="n"/>
      <c r="E12" s="13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</row>
    <row r="13">
      <c r="A13" s="135" t="n"/>
      <c r="B13" s="135" t="n"/>
      <c r="C13" s="149" t="n"/>
      <c r="D13" s="149" t="n"/>
      <c r="E13" s="13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</row>
    <row r="14">
      <c r="A14" s="135" t="n"/>
      <c r="B14" s="135" t="n"/>
      <c r="C14" s="149" t="n"/>
      <c r="D14" s="149" t="n"/>
      <c r="E14" s="13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</row>
    <row r="15">
      <c r="A15" s="135" t="n"/>
      <c r="B15" s="135" t="n"/>
      <c r="C15" s="149" t="n"/>
      <c r="D15" s="149" t="n"/>
      <c r="E15" s="13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</row>
    <row r="16">
      <c r="A16" s="135" t="n"/>
      <c r="B16" s="135" t="n"/>
      <c r="C16" s="149" t="n"/>
      <c r="D16" s="149" t="n"/>
      <c r="E16" s="13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</row>
    <row r="17">
      <c r="A17" s="135" t="n"/>
      <c r="B17" s="135" t="n"/>
      <c r="C17" s="149" t="n"/>
      <c r="D17" s="149" t="n"/>
      <c r="E17" s="13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</row>
    <row r="18">
      <c r="A18" s="135" t="n"/>
      <c r="B18" s="135" t="n"/>
      <c r="C18" s="149" t="n"/>
      <c r="D18" s="149" t="n"/>
      <c r="E18" s="13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</row>
    <row r="19">
      <c r="A19" s="135" t="n"/>
      <c r="B19" s="135" t="n"/>
      <c r="C19" s="149" t="n"/>
      <c r="D19" s="149" t="n"/>
      <c r="E19" s="13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</row>
    <row r="20">
      <c r="A20" s="135" t="n"/>
      <c r="B20" s="135" t="n"/>
      <c r="C20" s="149" t="n"/>
      <c r="D20" s="149" t="n"/>
      <c r="E20" s="13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</row>
    <row r="21">
      <c r="A21" s="135" t="n"/>
      <c r="B21" s="135" t="n"/>
      <c r="C21" s="149" t="n"/>
      <c r="D21" s="149" t="n"/>
      <c r="E21" s="13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</row>
    <row r="22">
      <c r="A22" s="135" t="n"/>
      <c r="B22" s="135" t="n"/>
      <c r="C22" s="149" t="n"/>
      <c r="D22" s="149" t="n"/>
      <c r="E22" s="13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</row>
    <row r="23">
      <c r="A23" s="135" t="n"/>
      <c r="B23" s="135" t="n"/>
      <c r="C23" s="149" t="n"/>
      <c r="D23" s="149" t="n"/>
      <c r="E23" s="13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</row>
    <row r="24">
      <c r="A24" s="135" t="n"/>
      <c r="B24" s="135" t="n"/>
      <c r="C24" s="149" t="n"/>
      <c r="D24" s="149" t="n"/>
      <c r="E24" s="13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</row>
    <row r="25" hidden="1">
      <c r="A25" s="135" t="n"/>
      <c r="B25" s="135" t="n"/>
      <c r="C25" s="149" t="n"/>
      <c r="D25" s="149" t="n"/>
      <c r="E25" s="13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</row>
    <row r="26" hidden="1">
      <c r="A26" s="135" t="n"/>
      <c r="B26" s="135" t="n"/>
      <c r="C26" s="149" t="n"/>
      <c r="D26" s="149" t="n"/>
      <c r="E26" s="13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</row>
    <row r="27" hidden="1">
      <c r="A27" s="135" t="n"/>
      <c r="B27" s="135" t="n"/>
      <c r="C27" s="149" t="n"/>
      <c r="D27" s="149" t="n"/>
      <c r="E27" s="13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</row>
    <row r="28" hidden="1">
      <c r="A28" s="135" t="n"/>
      <c r="B28" s="135" t="n"/>
      <c r="C28" s="149" t="n"/>
      <c r="D28" s="149" t="n"/>
      <c r="E28" s="13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</row>
    <row r="29" hidden="1">
      <c r="A29" s="135" t="n"/>
      <c r="B29" s="135" t="n"/>
      <c r="C29" s="149" t="n"/>
      <c r="D29" s="149" t="n"/>
      <c r="E29" s="13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</row>
    <row r="30" hidden="1">
      <c r="A30" s="135" t="n"/>
      <c r="B30" s="135" t="n"/>
      <c r="C30" s="149" t="n"/>
      <c r="D30" s="149" t="n"/>
      <c r="E30" s="13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</row>
    <row r="31" hidden="1">
      <c r="A31" s="135" t="n"/>
      <c r="B31" s="135" t="n"/>
      <c r="C31" s="149" t="n"/>
      <c r="D31" s="149" t="n"/>
      <c r="E31" s="13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</row>
    <row r="32" hidden="1">
      <c r="A32" s="135" t="n"/>
      <c r="B32" s="135" t="n"/>
      <c r="C32" s="149" t="n"/>
      <c r="D32" s="149" t="n"/>
      <c r="E32" s="13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</row>
    <row r="33" hidden="1">
      <c r="A33" s="135" t="n"/>
      <c r="B33" s="135" t="n"/>
      <c r="C33" s="149" t="n"/>
      <c r="D33" s="149" t="n"/>
      <c r="E33" s="13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</row>
    <row r="34" hidden="1">
      <c r="A34" s="135" t="n"/>
      <c r="B34" s="135" t="n"/>
      <c r="C34" s="149" t="n"/>
      <c r="D34" s="149" t="n"/>
      <c r="E34" s="13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</row>
    <row r="35" hidden="1">
      <c r="A35" s="135" t="n"/>
      <c r="B35" s="135" t="n"/>
      <c r="C35" s="149" t="n"/>
      <c r="D35" s="149" t="n"/>
      <c r="E35" s="13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</row>
    <row r="36" hidden="1">
      <c r="A36" s="135" t="n"/>
      <c r="B36" s="135" t="n"/>
      <c r="C36" s="149" t="n"/>
      <c r="D36" s="149" t="n"/>
      <c r="E36" s="13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</row>
    <row r="37" hidden="1">
      <c r="A37" s="135" t="n"/>
      <c r="B37" s="135" t="n"/>
      <c r="C37" s="149" t="n"/>
      <c r="D37" s="149" t="n"/>
      <c r="E37" s="13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</row>
    <row r="38" hidden="1">
      <c r="A38" s="135" t="n"/>
      <c r="B38" s="135" t="n"/>
      <c r="C38" s="149" t="n"/>
      <c r="D38" s="149" t="n"/>
      <c r="E38" s="13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</row>
    <row r="39" hidden="1">
      <c r="A39" s="135" t="n"/>
      <c r="B39" s="135" t="n"/>
      <c r="C39" s="149" t="n"/>
      <c r="D39" s="149" t="n"/>
      <c r="E39" s="13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</row>
    <row r="40" hidden="1">
      <c r="A40" s="135" t="n"/>
      <c r="B40" s="135" t="n"/>
      <c r="C40" s="149" t="n"/>
      <c r="D40" s="149" t="n"/>
      <c r="E40" s="13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</row>
    <row r="41" hidden="1">
      <c r="A41" s="135" t="n"/>
      <c r="B41" s="135" t="n"/>
      <c r="C41" s="149" t="n"/>
      <c r="D41" s="149" t="n"/>
      <c r="E41" s="13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</row>
    <row r="42" hidden="1">
      <c r="A42" s="135" t="n"/>
      <c r="B42" s="135" t="n"/>
      <c r="C42" s="149" t="n"/>
      <c r="D42" s="149" t="n"/>
      <c r="E42" s="13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</row>
    <row r="43" hidden="1">
      <c r="A43" s="135" t="n"/>
      <c r="B43" s="135" t="n"/>
      <c r="C43" s="149" t="n"/>
      <c r="D43" s="149" t="n"/>
      <c r="E43" s="13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</row>
    <row r="44" hidden="1">
      <c r="A44" s="135" t="n"/>
      <c r="B44" s="135" t="n"/>
      <c r="C44" s="149" t="n"/>
      <c r="D44" s="149" t="n"/>
      <c r="E44" s="13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</row>
    <row r="45" hidden="1">
      <c r="A45" s="135" t="n"/>
      <c r="B45" s="135" t="n"/>
      <c r="C45" s="149" t="n"/>
      <c r="D45" s="149" t="n"/>
      <c r="E45" s="13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</row>
    <row r="46" hidden="1">
      <c r="A46" s="135" t="n"/>
      <c r="B46" s="135" t="n"/>
      <c r="C46" s="149" t="n"/>
      <c r="D46" s="149" t="n"/>
      <c r="E46" s="13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</row>
    <row r="47" hidden="1">
      <c r="A47" s="135" t="n"/>
      <c r="B47" s="135" t="n"/>
      <c r="C47" s="149" t="n"/>
      <c r="D47" s="149" t="n"/>
      <c r="E47" s="13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</row>
    <row r="48" hidden="1">
      <c r="A48" s="135" t="n"/>
      <c r="B48" s="135" t="n"/>
      <c r="C48" s="149" t="n"/>
      <c r="D48" s="149" t="n"/>
      <c r="E48" s="13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</row>
    <row r="49" hidden="1">
      <c r="A49" s="135" t="n"/>
      <c r="B49" s="135" t="n"/>
      <c r="C49" s="149" t="n"/>
      <c r="D49" s="149" t="n"/>
      <c r="E49" s="13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</row>
    <row r="50" hidden="1">
      <c r="A50" s="135" t="n"/>
      <c r="B50" s="135" t="n"/>
      <c r="C50" s="149" t="n"/>
      <c r="D50" s="149" t="n"/>
      <c r="E50" s="13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</row>
    <row r="51" hidden="1">
      <c r="A51" s="135" t="n"/>
      <c r="B51" s="135" t="n"/>
      <c r="C51" s="149" t="n"/>
      <c r="D51" s="149" t="n"/>
      <c r="E51" s="13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</row>
    <row r="52" hidden="1">
      <c r="A52" s="135" t="n"/>
      <c r="B52" s="135" t="n"/>
      <c r="C52" s="149" t="n"/>
      <c r="D52" s="149" t="n"/>
      <c r="E52" s="13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</row>
    <row r="53" hidden="1">
      <c r="A53" s="135" t="n"/>
      <c r="B53" s="135" t="n"/>
      <c r="C53" s="149" t="n"/>
      <c r="D53" s="149" t="n"/>
      <c r="E53" s="13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</row>
    <row r="54" hidden="1">
      <c r="A54" s="135" t="n"/>
      <c r="B54" s="135" t="n"/>
      <c r="C54" s="149" t="n"/>
      <c r="D54" s="149" t="n"/>
      <c r="E54" s="13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</row>
    <row r="55">
      <c r="A55" s="136" t="inlineStr">
        <is>
          <t>合计</t>
        </is>
      </c>
      <c r="B55" s="137" t="n"/>
      <c r="C55" s="150">
        <f>SUM(C5:C54)</f>
        <v/>
      </c>
      <c r="D55" s="150">
        <f>SUM(D5:D54)</f>
        <v/>
      </c>
      <c r="E55" s="137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2">
    <mergeCell ref="A2:E2"/>
    <mergeCell ref="A1:E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I39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:I1"/>
    </sheetView>
  </sheetViews>
  <sheetFormatPr baseColWidth="8" defaultColWidth="9.109375" defaultRowHeight="14.4"/>
  <cols>
    <col width="35" customWidth="1" style="1" min="1" max="1"/>
    <col width="15" customWidth="1" style="1" min="2" max="9"/>
    <col width="9.109375" customWidth="1" style="1" min="10" max="10"/>
    <col width="9.109375" customWidth="1" style="1" min="11" max="16384"/>
  </cols>
  <sheetData>
    <row r="1" ht="17.4" customHeight="1">
      <c r="A1" s="119" t="inlineStr">
        <is>
          <t>付息负债明细表</t>
        </is>
      </c>
      <c r="J1" s="2">
        <f>HYPERLINK("#目录1!A1","返回目录")</f>
        <v/>
      </c>
    </row>
    <row r="2">
      <c r="A2" s="120" t="inlineStr">
        <is>
          <t>评估基准日：{{VALUATION_BASE_DATE}}</t>
        </is>
      </c>
    </row>
    <row r="3">
      <c r="A3" s="1">
        <f>"被评估单位："&amp;项目信息!B5&amp;""</f>
        <v/>
      </c>
      <c r="I3" s="3">
        <f>"金额单位："&amp;项目信息!B8&amp;""</f>
        <v/>
      </c>
    </row>
    <row r="4">
      <c r="A4" s="124" t="inlineStr">
        <is>
          <t>负债类型</t>
        </is>
      </c>
      <c r="B4" s="124" t="inlineStr">
        <is>
          <t>负债具体明细项</t>
        </is>
      </c>
      <c r="C4" s="124" t="inlineStr">
        <is>
          <t>借款日期</t>
        </is>
      </c>
      <c r="D4" s="124" t="inlineStr">
        <is>
          <t>借款期限(月）</t>
        </is>
      </c>
      <c r="E4" s="124" t="inlineStr">
        <is>
          <t>借款利率（%）</t>
        </is>
      </c>
      <c r="F4" s="124" t="inlineStr">
        <is>
          <t>借款合同金额</t>
        </is>
      </c>
      <c r="G4" s="124" t="inlineStr">
        <is>
          <t>借款截止基准日余额</t>
        </is>
      </c>
      <c r="H4" s="124" t="inlineStr">
        <is>
          <t>借款主要用途</t>
        </is>
      </c>
      <c r="I4" s="124" t="inlineStr">
        <is>
          <t>备注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</row>
    <row r="5">
      <c r="A5" s="122" t="inlineStr">
        <is>
          <t>银行借款：</t>
        </is>
      </c>
      <c r="B5" s="7" t="n"/>
      <c r="C5" s="7" t="n"/>
      <c r="D5" s="176" t="n"/>
      <c r="E5" s="7" t="n"/>
      <c r="F5" s="148" t="n"/>
      <c r="G5" s="148" t="n"/>
      <c r="H5" s="7" t="n"/>
      <c r="I5" s="7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</row>
    <row r="6">
      <c r="A6" s="7" t="n"/>
      <c r="B6" s="135" t="n"/>
      <c r="C6" s="135" t="n"/>
      <c r="D6" s="177" t="n"/>
      <c r="E6" s="12" t="n"/>
      <c r="F6" s="149" t="n"/>
      <c r="G6" s="149" t="n"/>
      <c r="H6" s="135" t="n"/>
      <c r="I6" s="13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</row>
    <row r="7">
      <c r="A7" s="7" t="n"/>
      <c r="B7" s="135" t="n"/>
      <c r="C7" s="135" t="n"/>
      <c r="D7" s="177" t="n"/>
      <c r="E7" s="12" t="n"/>
      <c r="F7" s="149" t="n"/>
      <c r="G7" s="149" t="n"/>
      <c r="H7" s="135" t="n"/>
      <c r="I7" s="13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</row>
    <row r="8">
      <c r="A8" s="7" t="n"/>
      <c r="B8" s="135" t="n"/>
      <c r="C8" s="135" t="n"/>
      <c r="D8" s="177" t="n"/>
      <c r="E8" s="12" t="n"/>
      <c r="F8" s="149" t="n"/>
      <c r="G8" s="149" t="n"/>
      <c r="H8" s="135" t="n"/>
      <c r="I8" s="13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</row>
    <row r="9">
      <c r="A9" s="7" t="n"/>
      <c r="B9" s="135" t="n"/>
      <c r="C9" s="135" t="n"/>
      <c r="D9" s="177" t="n"/>
      <c r="E9" s="12" t="n"/>
      <c r="F9" s="149" t="n"/>
      <c r="G9" s="149" t="n"/>
      <c r="H9" s="135" t="n"/>
      <c r="I9" s="13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</row>
    <row r="10">
      <c r="A10" s="7" t="n"/>
      <c r="B10" s="135" t="n"/>
      <c r="C10" s="135" t="n"/>
      <c r="D10" s="177" t="n"/>
      <c r="E10" s="12" t="n"/>
      <c r="F10" s="149" t="n"/>
      <c r="G10" s="149" t="n"/>
      <c r="H10" s="135" t="n"/>
      <c r="I10" s="13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</row>
    <row r="11" hidden="1">
      <c r="A11" s="7" t="n"/>
      <c r="B11" s="135" t="n"/>
      <c r="C11" s="135" t="n"/>
      <c r="D11" s="177" t="n"/>
      <c r="E11" s="12" t="n"/>
      <c r="F11" s="149" t="n"/>
      <c r="G11" s="149" t="n"/>
      <c r="H11" s="135" t="n"/>
      <c r="I11" s="13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</row>
    <row r="12" hidden="1">
      <c r="A12" s="7" t="n"/>
      <c r="B12" s="135" t="n"/>
      <c r="C12" s="135" t="n"/>
      <c r="D12" s="177" t="n"/>
      <c r="E12" s="12" t="n"/>
      <c r="F12" s="149" t="n"/>
      <c r="G12" s="149" t="n"/>
      <c r="H12" s="135" t="n"/>
      <c r="I12" s="13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</row>
    <row r="13" hidden="1">
      <c r="A13" s="7" t="n"/>
      <c r="B13" s="135" t="n"/>
      <c r="C13" s="135" t="n"/>
      <c r="D13" s="177" t="n"/>
      <c r="E13" s="12" t="n"/>
      <c r="F13" s="149" t="n"/>
      <c r="G13" s="149" t="n"/>
      <c r="H13" s="135" t="n"/>
      <c r="I13" s="13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</row>
    <row r="14" hidden="1">
      <c r="A14" s="7" t="n"/>
      <c r="B14" s="135" t="n"/>
      <c r="C14" s="135" t="n"/>
      <c r="D14" s="177" t="n"/>
      <c r="E14" s="12" t="n"/>
      <c r="F14" s="149" t="n"/>
      <c r="G14" s="149" t="n"/>
      <c r="H14" s="135" t="n"/>
      <c r="I14" s="13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</row>
    <row r="15" hidden="1">
      <c r="A15" s="7" t="n"/>
      <c r="B15" s="135" t="n"/>
      <c r="C15" s="135" t="n"/>
      <c r="D15" s="177" t="n"/>
      <c r="E15" s="12" t="n"/>
      <c r="F15" s="149" t="n"/>
      <c r="G15" s="149" t="n"/>
      <c r="H15" s="135" t="n"/>
      <c r="I15" s="13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</row>
    <row r="16" hidden="1">
      <c r="A16" s="7" t="n"/>
      <c r="B16" s="135" t="n"/>
      <c r="C16" s="135" t="n"/>
      <c r="D16" s="177" t="n"/>
      <c r="E16" s="12" t="n"/>
      <c r="F16" s="149" t="n"/>
      <c r="G16" s="149" t="n"/>
      <c r="H16" s="135" t="n"/>
      <c r="I16" s="13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</row>
    <row r="17" hidden="1">
      <c r="A17" s="7" t="n"/>
      <c r="B17" s="135" t="n"/>
      <c r="C17" s="135" t="n"/>
      <c r="D17" s="177" t="n"/>
      <c r="E17" s="12" t="n"/>
      <c r="F17" s="149" t="n"/>
      <c r="G17" s="149" t="n"/>
      <c r="H17" s="135" t="n"/>
      <c r="I17" s="13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</row>
    <row r="18" hidden="1">
      <c r="A18" s="7" t="n"/>
      <c r="B18" s="135" t="n"/>
      <c r="C18" s="135" t="n"/>
      <c r="D18" s="177" t="n"/>
      <c r="E18" s="12" t="n"/>
      <c r="F18" s="149" t="n"/>
      <c r="G18" s="149" t="n"/>
      <c r="H18" s="135" t="n"/>
      <c r="I18" s="13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</row>
    <row r="19" hidden="1">
      <c r="A19" s="7" t="n"/>
      <c r="B19" s="135" t="n"/>
      <c r="C19" s="135" t="n"/>
      <c r="D19" s="177" t="n"/>
      <c r="E19" s="12" t="n"/>
      <c r="F19" s="149" t="n"/>
      <c r="G19" s="149" t="n"/>
      <c r="H19" s="135" t="n"/>
      <c r="I19" s="13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</row>
    <row r="20" hidden="1">
      <c r="A20" s="7" t="n"/>
      <c r="B20" s="135" t="n"/>
      <c r="C20" s="135" t="n"/>
      <c r="D20" s="177" t="n"/>
      <c r="E20" s="12" t="n"/>
      <c r="F20" s="149" t="n"/>
      <c r="G20" s="149" t="n"/>
      <c r="H20" s="135" t="n"/>
      <c r="I20" s="13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</row>
    <row r="21" hidden="1">
      <c r="A21" s="7" t="n"/>
      <c r="B21" s="135" t="n"/>
      <c r="C21" s="135" t="n"/>
      <c r="D21" s="177" t="n"/>
      <c r="E21" s="12" t="n"/>
      <c r="F21" s="149" t="n"/>
      <c r="G21" s="149" t="n"/>
      <c r="H21" s="135" t="n"/>
      <c r="I21" s="13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</row>
    <row r="22" hidden="1">
      <c r="A22" s="7" t="n"/>
      <c r="B22" s="135" t="n"/>
      <c r="C22" s="135" t="n"/>
      <c r="D22" s="177" t="n"/>
      <c r="E22" s="12" t="n"/>
      <c r="F22" s="149" t="n"/>
      <c r="G22" s="149" t="n"/>
      <c r="H22" s="135" t="n"/>
      <c r="I22" s="13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</row>
    <row r="23" hidden="1">
      <c r="A23" s="7" t="n"/>
      <c r="B23" s="135" t="n"/>
      <c r="C23" s="135" t="n"/>
      <c r="D23" s="177" t="n"/>
      <c r="E23" s="12" t="n"/>
      <c r="F23" s="149" t="n"/>
      <c r="G23" s="149" t="n"/>
      <c r="H23" s="135" t="n"/>
      <c r="I23" s="13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</row>
    <row r="24" hidden="1">
      <c r="A24" s="7" t="n"/>
      <c r="B24" s="135" t="n"/>
      <c r="C24" s="135" t="n"/>
      <c r="D24" s="177" t="n"/>
      <c r="E24" s="12" t="n"/>
      <c r="F24" s="149" t="n"/>
      <c r="G24" s="149" t="n"/>
      <c r="H24" s="135" t="n"/>
      <c r="I24" s="13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</row>
    <row r="25" hidden="1">
      <c r="A25" s="7" t="n"/>
      <c r="B25" s="135" t="n"/>
      <c r="C25" s="135" t="n"/>
      <c r="D25" s="177" t="n"/>
      <c r="E25" s="12" t="n"/>
      <c r="F25" s="149" t="n"/>
      <c r="G25" s="149" t="n"/>
      <c r="H25" s="135" t="n"/>
      <c r="I25" s="13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</row>
    <row r="26" hidden="1">
      <c r="A26" s="7" t="n"/>
      <c r="B26" s="135" t="n"/>
      <c r="C26" s="135" t="n"/>
      <c r="D26" s="177" t="n"/>
      <c r="E26" s="12" t="n"/>
      <c r="F26" s="149" t="n"/>
      <c r="G26" s="149" t="n"/>
      <c r="H26" s="135" t="n"/>
      <c r="I26" s="13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</row>
    <row r="27" hidden="1">
      <c r="A27" s="7" t="n"/>
      <c r="B27" s="135" t="n"/>
      <c r="C27" s="135" t="n"/>
      <c r="D27" s="177" t="n"/>
      <c r="E27" s="12" t="n"/>
      <c r="F27" s="149" t="n"/>
      <c r="G27" s="149" t="n"/>
      <c r="H27" s="135" t="n"/>
      <c r="I27" s="13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</row>
    <row r="28" hidden="1">
      <c r="A28" s="7" t="n"/>
      <c r="B28" s="135" t="n"/>
      <c r="C28" s="135" t="n"/>
      <c r="D28" s="177" t="n"/>
      <c r="E28" s="12" t="n"/>
      <c r="F28" s="149" t="n"/>
      <c r="G28" s="149" t="n"/>
      <c r="H28" s="135" t="n"/>
      <c r="I28" s="13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</row>
    <row r="29" hidden="1">
      <c r="A29" s="7" t="n"/>
      <c r="B29" s="135" t="n"/>
      <c r="C29" s="135" t="n"/>
      <c r="D29" s="177" t="n"/>
      <c r="E29" s="12" t="n"/>
      <c r="F29" s="149" t="n"/>
      <c r="G29" s="149" t="n"/>
      <c r="H29" s="135" t="n"/>
      <c r="I29" s="13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</row>
    <row r="30" hidden="1">
      <c r="A30" s="7" t="n"/>
      <c r="B30" s="135" t="n"/>
      <c r="C30" s="135" t="n"/>
      <c r="D30" s="177" t="n"/>
      <c r="E30" s="12" t="n"/>
      <c r="F30" s="149" t="n"/>
      <c r="G30" s="149" t="n"/>
      <c r="H30" s="135" t="n"/>
      <c r="I30" s="13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</row>
    <row r="31" hidden="1">
      <c r="A31" s="7" t="n"/>
      <c r="B31" s="135" t="n"/>
      <c r="C31" s="135" t="n"/>
      <c r="D31" s="177" t="n"/>
      <c r="E31" s="12" t="n"/>
      <c r="F31" s="149" t="n"/>
      <c r="G31" s="149" t="n"/>
      <c r="H31" s="135" t="n"/>
      <c r="I31" s="13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</row>
    <row r="32" hidden="1">
      <c r="A32" s="7" t="n"/>
      <c r="B32" s="135" t="n"/>
      <c r="C32" s="135" t="n"/>
      <c r="D32" s="177" t="n"/>
      <c r="E32" s="12" t="n"/>
      <c r="F32" s="149" t="n"/>
      <c r="G32" s="149" t="n"/>
      <c r="H32" s="135" t="n"/>
      <c r="I32" s="13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</row>
    <row r="33" hidden="1">
      <c r="A33" s="7" t="n"/>
      <c r="B33" s="135" t="n"/>
      <c r="C33" s="135" t="n"/>
      <c r="D33" s="177" t="n"/>
      <c r="E33" s="12" t="n"/>
      <c r="F33" s="149" t="n"/>
      <c r="G33" s="149" t="n"/>
      <c r="H33" s="135" t="n"/>
      <c r="I33" s="13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</row>
    <row r="34" hidden="1">
      <c r="A34" s="7" t="n"/>
      <c r="B34" s="135" t="n"/>
      <c r="C34" s="135" t="n"/>
      <c r="D34" s="177" t="n"/>
      <c r="E34" s="12" t="n"/>
      <c r="F34" s="149" t="n"/>
      <c r="G34" s="149" t="n"/>
      <c r="H34" s="135" t="n"/>
      <c r="I34" s="13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</row>
    <row r="35" hidden="1">
      <c r="A35" s="7" t="n"/>
      <c r="B35" s="135" t="n"/>
      <c r="C35" s="135" t="n"/>
      <c r="D35" s="177" t="n"/>
      <c r="E35" s="12" t="n"/>
      <c r="F35" s="149" t="n"/>
      <c r="G35" s="149" t="n"/>
      <c r="H35" s="135" t="n"/>
      <c r="I35" s="13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</row>
    <row r="36" hidden="1">
      <c r="A36" s="7" t="n"/>
      <c r="B36" s="135" t="n"/>
      <c r="C36" s="135" t="n"/>
      <c r="D36" s="177" t="n"/>
      <c r="E36" s="12" t="n"/>
      <c r="F36" s="149" t="n"/>
      <c r="G36" s="149" t="n"/>
      <c r="H36" s="135" t="n"/>
      <c r="I36" s="13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</row>
    <row r="37" hidden="1">
      <c r="A37" s="7" t="n"/>
      <c r="B37" s="135" t="n"/>
      <c r="C37" s="135" t="n"/>
      <c r="D37" s="177" t="n"/>
      <c r="E37" s="12" t="n"/>
      <c r="F37" s="149" t="n"/>
      <c r="G37" s="149" t="n"/>
      <c r="H37" s="135" t="n"/>
      <c r="I37" s="13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</row>
    <row r="38" hidden="1">
      <c r="A38" s="7" t="n"/>
      <c r="B38" s="135" t="n"/>
      <c r="C38" s="135" t="n"/>
      <c r="D38" s="177" t="n"/>
      <c r="E38" s="12" t="n"/>
      <c r="F38" s="149" t="n"/>
      <c r="G38" s="149" t="n"/>
      <c r="H38" s="135" t="n"/>
      <c r="I38" s="13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</row>
    <row r="39" hidden="1">
      <c r="A39" s="7" t="n"/>
      <c r="B39" s="135" t="n"/>
      <c r="C39" s="135" t="n"/>
      <c r="D39" s="177" t="n"/>
      <c r="E39" s="12" t="n"/>
      <c r="F39" s="149" t="n"/>
      <c r="G39" s="149" t="n"/>
      <c r="H39" s="135" t="n"/>
      <c r="I39" s="13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</row>
    <row r="40" hidden="1">
      <c r="A40" s="7" t="n"/>
      <c r="B40" s="135" t="n"/>
      <c r="C40" s="135" t="n"/>
      <c r="D40" s="177" t="n"/>
      <c r="E40" s="12" t="n"/>
      <c r="F40" s="149" t="n"/>
      <c r="G40" s="149" t="n"/>
      <c r="H40" s="135" t="n"/>
      <c r="I40" s="13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</row>
    <row r="41" hidden="1">
      <c r="A41" s="7" t="n"/>
      <c r="B41" s="135" t="n"/>
      <c r="C41" s="135" t="n"/>
      <c r="D41" s="177" t="n"/>
      <c r="E41" s="12" t="n"/>
      <c r="F41" s="149" t="n"/>
      <c r="G41" s="149" t="n"/>
      <c r="H41" s="135" t="n"/>
      <c r="I41" s="13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</row>
    <row r="42" hidden="1">
      <c r="A42" s="7" t="n"/>
      <c r="B42" s="135" t="n"/>
      <c r="C42" s="135" t="n"/>
      <c r="D42" s="177" t="n"/>
      <c r="E42" s="12" t="n"/>
      <c r="F42" s="149" t="n"/>
      <c r="G42" s="149" t="n"/>
      <c r="H42" s="135" t="n"/>
      <c r="I42" s="13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</row>
    <row r="43" hidden="1">
      <c r="A43" s="7" t="n"/>
      <c r="B43" s="135" t="n"/>
      <c r="C43" s="135" t="n"/>
      <c r="D43" s="177" t="n"/>
      <c r="E43" s="12" t="n"/>
      <c r="F43" s="149" t="n"/>
      <c r="G43" s="149" t="n"/>
      <c r="H43" s="135" t="n"/>
      <c r="I43" s="13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</row>
    <row r="44" hidden="1">
      <c r="A44" s="7" t="n"/>
      <c r="B44" s="135" t="n"/>
      <c r="C44" s="135" t="n"/>
      <c r="D44" s="177" t="n"/>
      <c r="E44" s="12" t="n"/>
      <c r="F44" s="149" t="n"/>
      <c r="G44" s="149" t="n"/>
      <c r="H44" s="135" t="n"/>
      <c r="I44" s="13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</row>
    <row r="45" hidden="1">
      <c r="A45" s="7" t="n"/>
      <c r="B45" s="135" t="n"/>
      <c r="C45" s="135" t="n"/>
      <c r="D45" s="177" t="n"/>
      <c r="E45" s="12" t="n"/>
      <c r="F45" s="149" t="n"/>
      <c r="G45" s="149" t="n"/>
      <c r="H45" s="135" t="n"/>
      <c r="I45" s="13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</row>
    <row r="46" hidden="1">
      <c r="A46" s="7" t="n"/>
      <c r="B46" s="135" t="n"/>
      <c r="C46" s="135" t="n"/>
      <c r="D46" s="177" t="n"/>
      <c r="E46" s="12" t="n"/>
      <c r="F46" s="149" t="n"/>
      <c r="G46" s="149" t="n"/>
      <c r="H46" s="135" t="n"/>
      <c r="I46" s="13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</row>
    <row r="47" hidden="1">
      <c r="A47" s="7" t="n"/>
      <c r="B47" s="135" t="n"/>
      <c r="C47" s="135" t="n"/>
      <c r="D47" s="177" t="n"/>
      <c r="E47" s="12" t="n"/>
      <c r="F47" s="149" t="n"/>
      <c r="G47" s="149" t="n"/>
      <c r="H47" s="135" t="n"/>
      <c r="I47" s="13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</row>
    <row r="48" hidden="1">
      <c r="A48" s="7" t="n"/>
      <c r="B48" s="135" t="n"/>
      <c r="C48" s="135" t="n"/>
      <c r="D48" s="177" t="n"/>
      <c r="E48" s="12" t="n"/>
      <c r="F48" s="149" t="n"/>
      <c r="G48" s="149" t="n"/>
      <c r="H48" s="135" t="n"/>
      <c r="I48" s="13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</row>
    <row r="49" hidden="1">
      <c r="A49" s="7" t="n"/>
      <c r="B49" s="135" t="n"/>
      <c r="C49" s="135" t="n"/>
      <c r="D49" s="177" t="n"/>
      <c r="E49" s="12" t="n"/>
      <c r="F49" s="149" t="n"/>
      <c r="G49" s="149" t="n"/>
      <c r="H49" s="135" t="n"/>
      <c r="I49" s="13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</row>
    <row r="50" hidden="1">
      <c r="A50" s="7" t="n"/>
      <c r="B50" s="135" t="n"/>
      <c r="C50" s="135" t="n"/>
      <c r="D50" s="177" t="n"/>
      <c r="E50" s="12" t="n"/>
      <c r="F50" s="149" t="n"/>
      <c r="G50" s="149" t="n"/>
      <c r="H50" s="135" t="n"/>
      <c r="I50" s="13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</row>
    <row r="51" hidden="1">
      <c r="A51" s="7" t="n"/>
      <c r="B51" s="135" t="n"/>
      <c r="C51" s="135" t="n"/>
      <c r="D51" s="177" t="n"/>
      <c r="E51" s="12" t="n"/>
      <c r="F51" s="149" t="n"/>
      <c r="G51" s="149" t="n"/>
      <c r="H51" s="135" t="n"/>
      <c r="I51" s="13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</row>
    <row r="52" hidden="1">
      <c r="A52" s="7" t="n"/>
      <c r="B52" s="135" t="n"/>
      <c r="C52" s="135" t="n"/>
      <c r="D52" s="177" t="n"/>
      <c r="E52" s="12" t="n"/>
      <c r="F52" s="149" t="n"/>
      <c r="G52" s="149" t="n"/>
      <c r="H52" s="135" t="n"/>
      <c r="I52" s="13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</row>
    <row r="53" hidden="1">
      <c r="A53" s="7" t="n"/>
      <c r="B53" s="135" t="n"/>
      <c r="C53" s="135" t="n"/>
      <c r="D53" s="177" t="n"/>
      <c r="E53" s="12" t="n"/>
      <c r="F53" s="149" t="n"/>
      <c r="G53" s="149" t="n"/>
      <c r="H53" s="135" t="n"/>
      <c r="I53" s="13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</row>
    <row r="54" hidden="1">
      <c r="A54" s="7" t="n"/>
      <c r="B54" s="135" t="n"/>
      <c r="C54" s="135" t="n"/>
      <c r="D54" s="177" t="n"/>
      <c r="E54" s="12" t="n"/>
      <c r="F54" s="149" t="n"/>
      <c r="G54" s="149" t="n"/>
      <c r="H54" s="135" t="n"/>
      <c r="I54" s="13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</row>
    <row r="55" hidden="1">
      <c r="A55" s="7" t="n"/>
      <c r="B55" s="135" t="n"/>
      <c r="C55" s="135" t="n"/>
      <c r="D55" s="177" t="n"/>
      <c r="E55" s="12" t="n"/>
      <c r="F55" s="149" t="n"/>
      <c r="G55" s="149" t="n"/>
      <c r="H55" s="135" t="n"/>
      <c r="I55" s="13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</row>
    <row r="56" hidden="1">
      <c r="A56" s="7" t="n"/>
      <c r="B56" s="135" t="n"/>
      <c r="C56" s="135" t="n"/>
      <c r="D56" s="177" t="n"/>
      <c r="E56" s="12" t="n"/>
      <c r="F56" s="149" t="n"/>
      <c r="G56" s="149" t="n"/>
      <c r="H56" s="135" t="n"/>
      <c r="I56" s="13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</row>
    <row r="57" hidden="1">
      <c r="A57" s="7" t="n"/>
      <c r="B57" s="135" t="n"/>
      <c r="C57" s="135" t="n"/>
      <c r="D57" s="177" t="n"/>
      <c r="E57" s="12" t="n"/>
      <c r="F57" s="149" t="n"/>
      <c r="G57" s="149" t="n"/>
      <c r="H57" s="135" t="n"/>
      <c r="I57" s="13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</row>
    <row r="58" hidden="1">
      <c r="A58" s="7" t="n"/>
      <c r="B58" s="135" t="n"/>
      <c r="C58" s="135" t="n"/>
      <c r="D58" s="177" t="n"/>
      <c r="E58" s="12" t="n"/>
      <c r="F58" s="149" t="n"/>
      <c r="G58" s="149" t="n"/>
      <c r="H58" s="135" t="n"/>
      <c r="I58" s="13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</row>
    <row r="59" hidden="1">
      <c r="A59" s="7" t="n"/>
      <c r="B59" s="135" t="n"/>
      <c r="C59" s="135" t="n"/>
      <c r="D59" s="177" t="n"/>
      <c r="E59" s="12" t="n"/>
      <c r="F59" s="149" t="n"/>
      <c r="G59" s="149" t="n"/>
      <c r="H59" s="135" t="n"/>
      <c r="I59" s="13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</row>
    <row r="60" hidden="1">
      <c r="A60" s="7" t="n"/>
      <c r="B60" s="135" t="n"/>
      <c r="C60" s="135" t="n"/>
      <c r="D60" s="177" t="n"/>
      <c r="E60" s="12" t="n"/>
      <c r="F60" s="149" t="n"/>
      <c r="G60" s="149" t="n"/>
      <c r="H60" s="135" t="n"/>
      <c r="I60" s="13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</row>
    <row r="61" hidden="1">
      <c r="A61" s="7" t="n"/>
      <c r="B61" s="135" t="n"/>
      <c r="C61" s="135" t="n"/>
      <c r="D61" s="177" t="n"/>
      <c r="E61" s="12" t="n"/>
      <c r="F61" s="149" t="n"/>
      <c r="G61" s="149" t="n"/>
      <c r="H61" s="135" t="n"/>
      <c r="I61" s="13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</row>
    <row r="62" hidden="1">
      <c r="A62" s="7" t="n"/>
      <c r="B62" s="135" t="n"/>
      <c r="C62" s="135" t="n"/>
      <c r="D62" s="177" t="n"/>
      <c r="E62" s="12" t="n"/>
      <c r="F62" s="149" t="n"/>
      <c r="G62" s="149" t="n"/>
      <c r="H62" s="135" t="n"/>
      <c r="I62" s="13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</row>
    <row r="63" hidden="1">
      <c r="A63" s="7" t="n"/>
      <c r="B63" s="135" t="n"/>
      <c r="C63" s="135" t="n"/>
      <c r="D63" s="177" t="n"/>
      <c r="E63" s="12" t="n"/>
      <c r="F63" s="149" t="n"/>
      <c r="G63" s="149" t="n"/>
      <c r="H63" s="135" t="n"/>
      <c r="I63" s="13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</row>
    <row r="64" hidden="1">
      <c r="A64" s="7" t="n"/>
      <c r="B64" s="135" t="n"/>
      <c r="C64" s="135" t="n"/>
      <c r="D64" s="177" t="n"/>
      <c r="E64" s="12" t="n"/>
      <c r="F64" s="149" t="n"/>
      <c r="G64" s="149" t="n"/>
      <c r="H64" s="135" t="n"/>
      <c r="I64" s="13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</row>
    <row r="65" hidden="1">
      <c r="A65" s="7" t="n"/>
      <c r="B65" s="135" t="n"/>
      <c r="C65" s="135" t="n"/>
      <c r="D65" s="177" t="n"/>
      <c r="E65" s="12" t="n"/>
      <c r="F65" s="149" t="n"/>
      <c r="G65" s="149" t="n"/>
      <c r="H65" s="135" t="n"/>
      <c r="I65" s="13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</row>
    <row r="66">
      <c r="A66" s="14" t="n"/>
      <c r="B66" s="136" t="inlineStr">
        <is>
          <t>银行借款合计</t>
        </is>
      </c>
      <c r="C66" s="137" t="n"/>
      <c r="D66" s="178" t="n"/>
      <c r="E66" s="18" t="n"/>
      <c r="F66" s="150">
        <f>SUM(F6:F65)</f>
        <v/>
      </c>
      <c r="G66" s="150">
        <f>SUM(G6:G65)</f>
        <v/>
      </c>
      <c r="H66" s="137" t="n"/>
      <c r="I66" s="137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</row>
    <row r="67">
      <c r="A67" s="122" t="inlineStr">
        <is>
          <t>公司债券：</t>
        </is>
      </c>
      <c r="B67" s="7" t="n"/>
      <c r="C67" s="7" t="n"/>
      <c r="D67" s="176" t="n"/>
      <c r="E67" s="7" t="n"/>
      <c r="F67" s="148" t="n"/>
      <c r="G67" s="148" t="n"/>
      <c r="H67" s="7" t="n"/>
      <c r="I67" s="7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</row>
    <row r="68">
      <c r="A68" s="7" t="n"/>
      <c r="B68" s="135" t="n"/>
      <c r="C68" s="135" t="n"/>
      <c r="D68" s="177" t="n"/>
      <c r="E68" s="12" t="n"/>
      <c r="F68" s="149" t="n"/>
      <c r="G68" s="149" t="n"/>
      <c r="H68" s="135" t="n"/>
      <c r="I68" s="13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</row>
    <row r="69">
      <c r="A69" s="7" t="n"/>
      <c r="B69" s="135" t="n"/>
      <c r="C69" s="135" t="n"/>
      <c r="D69" s="177" t="n"/>
      <c r="E69" s="12" t="n"/>
      <c r="F69" s="149" t="n"/>
      <c r="G69" s="149" t="n"/>
      <c r="H69" s="135" t="n"/>
      <c r="I69" s="13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</row>
    <row r="70">
      <c r="A70" s="7" t="n"/>
      <c r="B70" s="135" t="n"/>
      <c r="C70" s="135" t="n"/>
      <c r="D70" s="177" t="n"/>
      <c r="E70" s="12" t="n"/>
      <c r="F70" s="149" t="n"/>
      <c r="G70" s="149" t="n"/>
      <c r="H70" s="135" t="n"/>
      <c r="I70" s="13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</row>
    <row r="71">
      <c r="A71" s="7" t="n"/>
      <c r="B71" s="135" t="n"/>
      <c r="C71" s="135" t="n"/>
      <c r="D71" s="177" t="n"/>
      <c r="E71" s="12" t="n"/>
      <c r="F71" s="149" t="n"/>
      <c r="G71" s="149" t="n"/>
      <c r="H71" s="135" t="n"/>
      <c r="I71" s="13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</row>
    <row r="72">
      <c r="A72" s="7" t="n"/>
      <c r="B72" s="135" t="n"/>
      <c r="C72" s="135" t="n"/>
      <c r="D72" s="177" t="n"/>
      <c r="E72" s="12" t="n"/>
      <c r="F72" s="149" t="n"/>
      <c r="G72" s="149" t="n"/>
      <c r="H72" s="135" t="n"/>
      <c r="I72" s="13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</row>
    <row r="73" hidden="1">
      <c r="A73" s="7" t="n"/>
      <c r="B73" s="135" t="n"/>
      <c r="C73" s="135" t="n"/>
      <c r="D73" s="177" t="n"/>
      <c r="E73" s="12" t="n"/>
      <c r="F73" s="149" t="n"/>
      <c r="G73" s="149" t="n"/>
      <c r="H73" s="135" t="n"/>
      <c r="I73" s="13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</row>
    <row r="74" hidden="1">
      <c r="A74" s="7" t="n"/>
      <c r="B74" s="135" t="n"/>
      <c r="C74" s="135" t="n"/>
      <c r="D74" s="177" t="n"/>
      <c r="E74" s="12" t="n"/>
      <c r="F74" s="149" t="n"/>
      <c r="G74" s="149" t="n"/>
      <c r="H74" s="135" t="n"/>
      <c r="I74" s="13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</row>
    <row r="75" hidden="1">
      <c r="A75" s="7" t="n"/>
      <c r="B75" s="135" t="n"/>
      <c r="C75" s="135" t="n"/>
      <c r="D75" s="177" t="n"/>
      <c r="E75" s="12" t="n"/>
      <c r="F75" s="149" t="n"/>
      <c r="G75" s="149" t="n"/>
      <c r="H75" s="135" t="n"/>
      <c r="I75" s="13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</row>
    <row r="76" hidden="1">
      <c r="A76" s="7" t="n"/>
      <c r="B76" s="135" t="n"/>
      <c r="C76" s="135" t="n"/>
      <c r="D76" s="177" t="n"/>
      <c r="E76" s="12" t="n"/>
      <c r="F76" s="149" t="n"/>
      <c r="G76" s="149" t="n"/>
      <c r="H76" s="135" t="n"/>
      <c r="I76" s="13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</row>
    <row r="77" hidden="1">
      <c r="A77" s="7" t="n"/>
      <c r="B77" s="135" t="n"/>
      <c r="C77" s="135" t="n"/>
      <c r="D77" s="177" t="n"/>
      <c r="E77" s="12" t="n"/>
      <c r="F77" s="149" t="n"/>
      <c r="G77" s="149" t="n"/>
      <c r="H77" s="135" t="n"/>
      <c r="I77" s="13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</row>
    <row r="78" hidden="1">
      <c r="A78" s="7" t="n"/>
      <c r="B78" s="135" t="n"/>
      <c r="C78" s="135" t="n"/>
      <c r="D78" s="177" t="n"/>
      <c r="E78" s="12" t="n"/>
      <c r="F78" s="149" t="n"/>
      <c r="G78" s="149" t="n"/>
      <c r="H78" s="135" t="n"/>
      <c r="I78" s="13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</row>
    <row r="79" hidden="1">
      <c r="A79" s="7" t="n"/>
      <c r="B79" s="135" t="n"/>
      <c r="C79" s="135" t="n"/>
      <c r="D79" s="177" t="n"/>
      <c r="E79" s="12" t="n"/>
      <c r="F79" s="149" t="n"/>
      <c r="G79" s="149" t="n"/>
      <c r="H79" s="135" t="n"/>
      <c r="I79" s="13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</row>
    <row r="80" hidden="1">
      <c r="A80" s="7" t="n"/>
      <c r="B80" s="135" t="n"/>
      <c r="C80" s="135" t="n"/>
      <c r="D80" s="177" t="n"/>
      <c r="E80" s="12" t="n"/>
      <c r="F80" s="149" t="n"/>
      <c r="G80" s="149" t="n"/>
      <c r="H80" s="135" t="n"/>
      <c r="I80" s="13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</row>
    <row r="81" hidden="1">
      <c r="A81" s="7" t="n"/>
      <c r="B81" s="135" t="n"/>
      <c r="C81" s="135" t="n"/>
      <c r="D81" s="177" t="n"/>
      <c r="E81" s="12" t="n"/>
      <c r="F81" s="149" t="n"/>
      <c r="G81" s="149" t="n"/>
      <c r="H81" s="135" t="n"/>
      <c r="I81" s="13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</row>
    <row r="82" hidden="1">
      <c r="A82" s="7" t="n"/>
      <c r="B82" s="135" t="n"/>
      <c r="C82" s="135" t="n"/>
      <c r="D82" s="177" t="n"/>
      <c r="E82" s="12" t="n"/>
      <c r="F82" s="149" t="n"/>
      <c r="G82" s="149" t="n"/>
      <c r="H82" s="135" t="n"/>
      <c r="I82" s="13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</row>
    <row r="83" hidden="1">
      <c r="A83" s="7" t="n"/>
      <c r="B83" s="135" t="n"/>
      <c r="C83" s="135" t="n"/>
      <c r="D83" s="177" t="n"/>
      <c r="E83" s="12" t="n"/>
      <c r="F83" s="149" t="n"/>
      <c r="G83" s="149" t="n"/>
      <c r="H83" s="135" t="n"/>
      <c r="I83" s="13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</row>
    <row r="84" hidden="1">
      <c r="A84" s="7" t="n"/>
      <c r="B84" s="135" t="n"/>
      <c r="C84" s="135" t="n"/>
      <c r="D84" s="177" t="n"/>
      <c r="E84" s="12" t="n"/>
      <c r="F84" s="149" t="n"/>
      <c r="G84" s="149" t="n"/>
      <c r="H84" s="135" t="n"/>
      <c r="I84" s="13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</row>
    <row r="85" hidden="1">
      <c r="A85" s="7" t="n"/>
      <c r="B85" s="135" t="n"/>
      <c r="C85" s="135" t="n"/>
      <c r="D85" s="177" t="n"/>
      <c r="E85" s="12" t="n"/>
      <c r="F85" s="149" t="n"/>
      <c r="G85" s="149" t="n"/>
      <c r="H85" s="135" t="n"/>
      <c r="I85" s="13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</row>
    <row r="86" hidden="1">
      <c r="A86" s="7" t="n"/>
      <c r="B86" s="135" t="n"/>
      <c r="C86" s="135" t="n"/>
      <c r="D86" s="177" t="n"/>
      <c r="E86" s="12" t="n"/>
      <c r="F86" s="149" t="n"/>
      <c r="G86" s="149" t="n"/>
      <c r="H86" s="135" t="n"/>
      <c r="I86" s="13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</row>
    <row r="87" hidden="1">
      <c r="A87" s="7" t="n"/>
      <c r="B87" s="135" t="n"/>
      <c r="C87" s="135" t="n"/>
      <c r="D87" s="177" t="n"/>
      <c r="E87" s="12" t="n"/>
      <c r="F87" s="149" t="n"/>
      <c r="G87" s="149" t="n"/>
      <c r="H87" s="135" t="n"/>
      <c r="I87" s="13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</row>
    <row r="88" hidden="1">
      <c r="A88" s="7" t="n"/>
      <c r="B88" s="135" t="n"/>
      <c r="C88" s="135" t="n"/>
      <c r="D88" s="177" t="n"/>
      <c r="E88" s="12" t="n"/>
      <c r="F88" s="149" t="n"/>
      <c r="G88" s="149" t="n"/>
      <c r="H88" s="135" t="n"/>
      <c r="I88" s="13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</row>
    <row r="89" hidden="1">
      <c r="A89" s="7" t="n"/>
      <c r="B89" s="135" t="n"/>
      <c r="C89" s="135" t="n"/>
      <c r="D89" s="177" t="n"/>
      <c r="E89" s="12" t="n"/>
      <c r="F89" s="149" t="n"/>
      <c r="G89" s="149" t="n"/>
      <c r="H89" s="135" t="n"/>
      <c r="I89" s="13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</row>
    <row r="90" hidden="1">
      <c r="A90" s="7" t="n"/>
      <c r="B90" s="135" t="n"/>
      <c r="C90" s="135" t="n"/>
      <c r="D90" s="177" t="n"/>
      <c r="E90" s="12" t="n"/>
      <c r="F90" s="149" t="n"/>
      <c r="G90" s="149" t="n"/>
      <c r="H90" s="135" t="n"/>
      <c r="I90" s="13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</row>
    <row r="91" hidden="1">
      <c r="A91" s="7" t="n"/>
      <c r="B91" s="135" t="n"/>
      <c r="C91" s="135" t="n"/>
      <c r="D91" s="177" t="n"/>
      <c r="E91" s="12" t="n"/>
      <c r="F91" s="149" t="n"/>
      <c r="G91" s="149" t="n"/>
      <c r="H91" s="135" t="n"/>
      <c r="I91" s="13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</row>
    <row r="92" hidden="1">
      <c r="A92" s="7" t="n"/>
      <c r="B92" s="135" t="n"/>
      <c r="C92" s="135" t="n"/>
      <c r="D92" s="177" t="n"/>
      <c r="E92" s="12" t="n"/>
      <c r="F92" s="149" t="n"/>
      <c r="G92" s="149" t="n"/>
      <c r="H92" s="135" t="n"/>
      <c r="I92" s="13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</row>
    <row r="93" hidden="1">
      <c r="A93" s="7" t="n"/>
      <c r="B93" s="135" t="n"/>
      <c r="C93" s="135" t="n"/>
      <c r="D93" s="177" t="n"/>
      <c r="E93" s="12" t="n"/>
      <c r="F93" s="149" t="n"/>
      <c r="G93" s="149" t="n"/>
      <c r="H93" s="135" t="n"/>
      <c r="I93" s="13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</row>
    <row r="94" hidden="1">
      <c r="A94" s="7" t="n"/>
      <c r="B94" s="135" t="n"/>
      <c r="C94" s="135" t="n"/>
      <c r="D94" s="177" t="n"/>
      <c r="E94" s="12" t="n"/>
      <c r="F94" s="149" t="n"/>
      <c r="G94" s="149" t="n"/>
      <c r="H94" s="135" t="n"/>
      <c r="I94" s="13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</row>
    <row r="95" hidden="1">
      <c r="A95" s="7" t="n"/>
      <c r="B95" s="135" t="n"/>
      <c r="C95" s="135" t="n"/>
      <c r="D95" s="177" t="n"/>
      <c r="E95" s="12" t="n"/>
      <c r="F95" s="149" t="n"/>
      <c r="G95" s="149" t="n"/>
      <c r="H95" s="135" t="n"/>
      <c r="I95" s="13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</row>
    <row r="96" hidden="1">
      <c r="A96" s="7" t="n"/>
      <c r="B96" s="135" t="n"/>
      <c r="C96" s="135" t="n"/>
      <c r="D96" s="177" t="n"/>
      <c r="E96" s="12" t="n"/>
      <c r="F96" s="149" t="n"/>
      <c r="G96" s="149" t="n"/>
      <c r="H96" s="135" t="n"/>
      <c r="I96" s="13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</row>
    <row r="97" hidden="1">
      <c r="A97" s="7" t="n"/>
      <c r="B97" s="135" t="n"/>
      <c r="C97" s="135" t="n"/>
      <c r="D97" s="177" t="n"/>
      <c r="E97" s="12" t="n"/>
      <c r="F97" s="149" t="n"/>
      <c r="G97" s="149" t="n"/>
      <c r="H97" s="135" t="n"/>
      <c r="I97" s="13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</row>
    <row r="98" hidden="1">
      <c r="A98" s="7" t="n"/>
      <c r="B98" s="135" t="n"/>
      <c r="C98" s="135" t="n"/>
      <c r="D98" s="177" t="n"/>
      <c r="E98" s="12" t="n"/>
      <c r="F98" s="149" t="n"/>
      <c r="G98" s="149" t="n"/>
      <c r="H98" s="135" t="n"/>
      <c r="I98" s="13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</row>
    <row r="99" hidden="1">
      <c r="A99" s="7" t="n"/>
      <c r="B99" s="135" t="n"/>
      <c r="C99" s="135" t="n"/>
      <c r="D99" s="177" t="n"/>
      <c r="E99" s="12" t="n"/>
      <c r="F99" s="149" t="n"/>
      <c r="G99" s="149" t="n"/>
      <c r="H99" s="135" t="n"/>
      <c r="I99" s="13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</row>
    <row r="100" hidden="1">
      <c r="A100" s="7" t="n"/>
      <c r="B100" s="135" t="n"/>
      <c r="C100" s="135" t="n"/>
      <c r="D100" s="177" t="n"/>
      <c r="E100" s="12" t="n"/>
      <c r="F100" s="149" t="n"/>
      <c r="G100" s="149" t="n"/>
      <c r="H100" s="135" t="n"/>
      <c r="I100" s="13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</row>
    <row r="101" hidden="1">
      <c r="A101" s="7" t="n"/>
      <c r="B101" s="135" t="n"/>
      <c r="C101" s="135" t="n"/>
      <c r="D101" s="177" t="n"/>
      <c r="E101" s="12" t="n"/>
      <c r="F101" s="149" t="n"/>
      <c r="G101" s="149" t="n"/>
      <c r="H101" s="135" t="n"/>
      <c r="I101" s="13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</row>
    <row r="102" hidden="1">
      <c r="A102" s="7" t="n"/>
      <c r="B102" s="135" t="n"/>
      <c r="C102" s="135" t="n"/>
      <c r="D102" s="177" t="n"/>
      <c r="E102" s="12" t="n"/>
      <c r="F102" s="149" t="n"/>
      <c r="G102" s="149" t="n"/>
      <c r="H102" s="135" t="n"/>
      <c r="I102" s="13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</row>
    <row r="103" hidden="1">
      <c r="A103" s="7" t="n"/>
      <c r="B103" s="135" t="n"/>
      <c r="C103" s="135" t="n"/>
      <c r="D103" s="177" t="n"/>
      <c r="E103" s="12" t="n"/>
      <c r="F103" s="149" t="n"/>
      <c r="G103" s="149" t="n"/>
      <c r="H103" s="135" t="n"/>
      <c r="I103" s="13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</row>
    <row r="104" hidden="1">
      <c r="A104" s="7" t="n"/>
      <c r="B104" s="135" t="n"/>
      <c r="C104" s="135" t="n"/>
      <c r="D104" s="177" t="n"/>
      <c r="E104" s="12" t="n"/>
      <c r="F104" s="149" t="n"/>
      <c r="G104" s="149" t="n"/>
      <c r="H104" s="135" t="n"/>
      <c r="I104" s="13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</row>
    <row r="105" hidden="1">
      <c r="A105" s="7" t="n"/>
      <c r="B105" s="135" t="n"/>
      <c r="C105" s="135" t="n"/>
      <c r="D105" s="177" t="n"/>
      <c r="E105" s="12" t="n"/>
      <c r="F105" s="149" t="n"/>
      <c r="G105" s="149" t="n"/>
      <c r="H105" s="135" t="n"/>
      <c r="I105" s="13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</row>
    <row r="106" hidden="1">
      <c r="A106" s="7" t="n"/>
      <c r="B106" s="135" t="n"/>
      <c r="C106" s="135" t="n"/>
      <c r="D106" s="177" t="n"/>
      <c r="E106" s="12" t="n"/>
      <c r="F106" s="149" t="n"/>
      <c r="G106" s="149" t="n"/>
      <c r="H106" s="135" t="n"/>
      <c r="I106" s="13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</row>
    <row r="107" hidden="1">
      <c r="A107" s="7" t="n"/>
      <c r="B107" s="135" t="n"/>
      <c r="C107" s="135" t="n"/>
      <c r="D107" s="177" t="n"/>
      <c r="E107" s="12" t="n"/>
      <c r="F107" s="149" t="n"/>
      <c r="G107" s="149" t="n"/>
      <c r="H107" s="135" t="n"/>
      <c r="I107" s="13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</row>
    <row r="108" hidden="1">
      <c r="A108" s="7" t="n"/>
      <c r="B108" s="135" t="n"/>
      <c r="C108" s="135" t="n"/>
      <c r="D108" s="177" t="n"/>
      <c r="E108" s="12" t="n"/>
      <c r="F108" s="149" t="n"/>
      <c r="G108" s="149" t="n"/>
      <c r="H108" s="135" t="n"/>
      <c r="I108" s="13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</row>
    <row r="109" hidden="1">
      <c r="A109" s="7" t="n"/>
      <c r="B109" s="135" t="n"/>
      <c r="C109" s="135" t="n"/>
      <c r="D109" s="177" t="n"/>
      <c r="E109" s="12" t="n"/>
      <c r="F109" s="149" t="n"/>
      <c r="G109" s="149" t="n"/>
      <c r="H109" s="135" t="n"/>
      <c r="I109" s="13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</row>
    <row r="110" hidden="1">
      <c r="A110" s="7" t="n"/>
      <c r="B110" s="135" t="n"/>
      <c r="C110" s="135" t="n"/>
      <c r="D110" s="177" t="n"/>
      <c r="E110" s="12" t="n"/>
      <c r="F110" s="149" t="n"/>
      <c r="G110" s="149" t="n"/>
      <c r="H110" s="135" t="n"/>
      <c r="I110" s="13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</row>
    <row r="111" hidden="1">
      <c r="A111" s="7" t="n"/>
      <c r="B111" s="135" t="n"/>
      <c r="C111" s="135" t="n"/>
      <c r="D111" s="177" t="n"/>
      <c r="E111" s="12" t="n"/>
      <c r="F111" s="149" t="n"/>
      <c r="G111" s="149" t="n"/>
      <c r="H111" s="135" t="n"/>
      <c r="I111" s="13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</row>
    <row r="112" hidden="1">
      <c r="A112" s="7" t="n"/>
      <c r="B112" s="135" t="n"/>
      <c r="C112" s="135" t="n"/>
      <c r="D112" s="177" t="n"/>
      <c r="E112" s="12" t="n"/>
      <c r="F112" s="149" t="n"/>
      <c r="G112" s="149" t="n"/>
      <c r="H112" s="135" t="n"/>
      <c r="I112" s="13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</row>
    <row r="113" hidden="1">
      <c r="A113" s="7" t="n"/>
      <c r="B113" s="135" t="n"/>
      <c r="C113" s="135" t="n"/>
      <c r="D113" s="177" t="n"/>
      <c r="E113" s="12" t="n"/>
      <c r="F113" s="149" t="n"/>
      <c r="G113" s="149" t="n"/>
      <c r="H113" s="135" t="n"/>
      <c r="I113" s="13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</row>
    <row r="114" hidden="1">
      <c r="A114" s="7" t="n"/>
      <c r="B114" s="135" t="n"/>
      <c r="C114" s="135" t="n"/>
      <c r="D114" s="177" t="n"/>
      <c r="E114" s="12" t="n"/>
      <c r="F114" s="149" t="n"/>
      <c r="G114" s="149" t="n"/>
      <c r="H114" s="135" t="n"/>
      <c r="I114" s="13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</row>
    <row r="115" hidden="1">
      <c r="A115" s="7" t="n"/>
      <c r="B115" s="135" t="n"/>
      <c r="C115" s="135" t="n"/>
      <c r="D115" s="177" t="n"/>
      <c r="E115" s="12" t="n"/>
      <c r="F115" s="149" t="n"/>
      <c r="G115" s="149" t="n"/>
      <c r="H115" s="135" t="n"/>
      <c r="I115" s="13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</row>
    <row r="116" hidden="1">
      <c r="A116" s="7" t="n"/>
      <c r="B116" s="135" t="n"/>
      <c r="C116" s="135" t="n"/>
      <c r="D116" s="177" t="n"/>
      <c r="E116" s="12" t="n"/>
      <c r="F116" s="149" t="n"/>
      <c r="G116" s="149" t="n"/>
      <c r="H116" s="135" t="n"/>
      <c r="I116" s="13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</row>
    <row r="117" hidden="1">
      <c r="A117" s="7" t="n"/>
      <c r="B117" s="135" t="n"/>
      <c r="C117" s="135" t="n"/>
      <c r="D117" s="177" t="n"/>
      <c r="E117" s="12" t="n"/>
      <c r="F117" s="149" t="n"/>
      <c r="G117" s="149" t="n"/>
      <c r="H117" s="135" t="n"/>
      <c r="I117" s="13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</row>
    <row r="118">
      <c r="A118" s="14" t="n"/>
      <c r="B118" s="136" t="inlineStr">
        <is>
          <t>公司债券合计</t>
        </is>
      </c>
      <c r="C118" s="137" t="n"/>
      <c r="D118" s="178" t="n"/>
      <c r="E118" s="18" t="n"/>
      <c r="F118" s="150">
        <f>SUM(F68:F117)</f>
        <v/>
      </c>
      <c r="G118" s="150">
        <f>SUM(G68:G117)</f>
        <v/>
      </c>
      <c r="H118" s="137" t="n"/>
      <c r="I118" s="137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</row>
    <row r="119">
      <c r="A119" s="122" t="inlineStr">
        <is>
          <t>其他机构融资：</t>
        </is>
      </c>
      <c r="B119" s="7" t="n"/>
      <c r="C119" s="7" t="n"/>
      <c r="D119" s="176" t="n"/>
      <c r="E119" s="7" t="n"/>
      <c r="F119" s="148" t="n"/>
      <c r="G119" s="148" t="n"/>
      <c r="H119" s="7" t="n"/>
      <c r="I119" s="7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</row>
    <row r="120">
      <c r="A120" s="7" t="n"/>
      <c r="B120" s="135" t="n"/>
      <c r="C120" s="135" t="n"/>
      <c r="D120" s="177" t="n"/>
      <c r="E120" s="12" t="n"/>
      <c r="F120" s="149" t="n"/>
      <c r="G120" s="149" t="n"/>
      <c r="H120" s="135" t="n"/>
      <c r="I120" s="13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</row>
    <row r="121">
      <c r="A121" s="7" t="n"/>
      <c r="B121" s="135" t="n"/>
      <c r="C121" s="135" t="n"/>
      <c r="D121" s="177" t="n"/>
      <c r="E121" s="12" t="n"/>
      <c r="F121" s="149" t="n"/>
      <c r="G121" s="149" t="n"/>
      <c r="H121" s="135" t="n"/>
      <c r="I121" s="13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</row>
    <row r="122">
      <c r="A122" s="7" t="n"/>
      <c r="B122" s="135" t="n"/>
      <c r="C122" s="135" t="n"/>
      <c r="D122" s="177" t="n"/>
      <c r="E122" s="12" t="n"/>
      <c r="F122" s="149" t="n"/>
      <c r="G122" s="149" t="n"/>
      <c r="H122" s="135" t="n"/>
      <c r="I122" s="13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</row>
    <row r="123">
      <c r="A123" s="7" t="n"/>
      <c r="B123" s="135" t="n"/>
      <c r="C123" s="135" t="n"/>
      <c r="D123" s="177" t="n"/>
      <c r="E123" s="12" t="n"/>
      <c r="F123" s="149" t="n"/>
      <c r="G123" s="149" t="n"/>
      <c r="H123" s="135" t="n"/>
      <c r="I123" s="13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</row>
    <row r="124">
      <c r="A124" s="7" t="n"/>
      <c r="B124" s="135" t="n"/>
      <c r="C124" s="135" t="n"/>
      <c r="D124" s="177" t="n"/>
      <c r="E124" s="12" t="n"/>
      <c r="F124" s="149" t="n"/>
      <c r="G124" s="149" t="n"/>
      <c r="H124" s="135" t="n"/>
      <c r="I124" s="13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</row>
    <row r="125" hidden="1">
      <c r="A125" s="7" t="n"/>
      <c r="B125" s="135" t="n"/>
      <c r="C125" s="135" t="n"/>
      <c r="D125" s="177" t="n"/>
      <c r="E125" s="12" t="n"/>
      <c r="F125" s="149" t="n"/>
      <c r="G125" s="149" t="n"/>
      <c r="H125" s="135" t="n"/>
      <c r="I125" s="13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</row>
    <row r="126" hidden="1">
      <c r="A126" s="7" t="n"/>
      <c r="B126" s="135" t="n"/>
      <c r="C126" s="135" t="n"/>
      <c r="D126" s="177" t="n"/>
      <c r="E126" s="12" t="n"/>
      <c r="F126" s="149" t="n"/>
      <c r="G126" s="149" t="n"/>
      <c r="H126" s="135" t="n"/>
      <c r="I126" s="13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</row>
    <row r="127" hidden="1">
      <c r="A127" s="7" t="n"/>
      <c r="B127" s="135" t="n"/>
      <c r="C127" s="135" t="n"/>
      <c r="D127" s="177" t="n"/>
      <c r="E127" s="12" t="n"/>
      <c r="F127" s="149" t="n"/>
      <c r="G127" s="149" t="n"/>
      <c r="H127" s="135" t="n"/>
      <c r="I127" s="13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</row>
    <row r="128" hidden="1">
      <c r="A128" s="7" t="n"/>
      <c r="B128" s="135" t="n"/>
      <c r="C128" s="135" t="n"/>
      <c r="D128" s="177" t="n"/>
      <c r="E128" s="12" t="n"/>
      <c r="F128" s="149" t="n"/>
      <c r="G128" s="149" t="n"/>
      <c r="H128" s="135" t="n"/>
      <c r="I128" s="13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</row>
    <row r="129" hidden="1">
      <c r="A129" s="7" t="n"/>
      <c r="B129" s="135" t="n"/>
      <c r="C129" s="135" t="n"/>
      <c r="D129" s="177" t="n"/>
      <c r="E129" s="12" t="n"/>
      <c r="F129" s="149" t="n"/>
      <c r="G129" s="149" t="n"/>
      <c r="H129" s="135" t="n"/>
      <c r="I129" s="13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</row>
    <row r="130" hidden="1">
      <c r="A130" s="7" t="n"/>
      <c r="B130" s="135" t="n"/>
      <c r="C130" s="135" t="n"/>
      <c r="D130" s="177" t="n"/>
      <c r="E130" s="12" t="n"/>
      <c r="F130" s="149" t="n"/>
      <c r="G130" s="149" t="n"/>
      <c r="H130" s="135" t="n"/>
      <c r="I130" s="13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</row>
    <row r="131" hidden="1">
      <c r="A131" s="7" t="n"/>
      <c r="B131" s="135" t="n"/>
      <c r="C131" s="135" t="n"/>
      <c r="D131" s="177" t="n"/>
      <c r="E131" s="12" t="n"/>
      <c r="F131" s="149" t="n"/>
      <c r="G131" s="149" t="n"/>
      <c r="H131" s="135" t="n"/>
      <c r="I131" s="13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</row>
    <row r="132" hidden="1">
      <c r="A132" s="7" t="n"/>
      <c r="B132" s="135" t="n"/>
      <c r="C132" s="135" t="n"/>
      <c r="D132" s="177" t="n"/>
      <c r="E132" s="12" t="n"/>
      <c r="F132" s="149" t="n"/>
      <c r="G132" s="149" t="n"/>
      <c r="H132" s="135" t="n"/>
      <c r="I132" s="13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</row>
    <row r="133" hidden="1">
      <c r="A133" s="7" t="n"/>
      <c r="B133" s="135" t="n"/>
      <c r="C133" s="135" t="n"/>
      <c r="D133" s="177" t="n"/>
      <c r="E133" s="12" t="n"/>
      <c r="F133" s="149" t="n"/>
      <c r="G133" s="149" t="n"/>
      <c r="H133" s="135" t="n"/>
      <c r="I133" s="13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</row>
    <row r="134" hidden="1">
      <c r="A134" s="7" t="n"/>
      <c r="B134" s="135" t="n"/>
      <c r="C134" s="135" t="n"/>
      <c r="D134" s="177" t="n"/>
      <c r="E134" s="12" t="n"/>
      <c r="F134" s="149" t="n"/>
      <c r="G134" s="149" t="n"/>
      <c r="H134" s="135" t="n"/>
      <c r="I134" s="13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</row>
    <row r="135" hidden="1">
      <c r="A135" s="7" t="n"/>
      <c r="B135" s="135" t="n"/>
      <c r="C135" s="135" t="n"/>
      <c r="D135" s="177" t="n"/>
      <c r="E135" s="12" t="n"/>
      <c r="F135" s="149" t="n"/>
      <c r="G135" s="149" t="n"/>
      <c r="H135" s="135" t="n"/>
      <c r="I135" s="13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</row>
    <row r="136" hidden="1">
      <c r="A136" s="7" t="n"/>
      <c r="B136" s="135" t="n"/>
      <c r="C136" s="135" t="n"/>
      <c r="D136" s="177" t="n"/>
      <c r="E136" s="12" t="n"/>
      <c r="F136" s="149" t="n"/>
      <c r="G136" s="149" t="n"/>
      <c r="H136" s="135" t="n"/>
      <c r="I136" s="13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</row>
    <row r="137" hidden="1">
      <c r="A137" s="7" t="n"/>
      <c r="B137" s="135" t="n"/>
      <c r="C137" s="135" t="n"/>
      <c r="D137" s="177" t="n"/>
      <c r="E137" s="12" t="n"/>
      <c r="F137" s="149" t="n"/>
      <c r="G137" s="149" t="n"/>
      <c r="H137" s="135" t="n"/>
      <c r="I137" s="13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</row>
    <row r="138" hidden="1">
      <c r="A138" s="7" t="n"/>
      <c r="B138" s="135" t="n"/>
      <c r="C138" s="135" t="n"/>
      <c r="D138" s="177" t="n"/>
      <c r="E138" s="12" t="n"/>
      <c r="F138" s="149" t="n"/>
      <c r="G138" s="149" t="n"/>
      <c r="H138" s="135" t="n"/>
      <c r="I138" s="13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</row>
    <row r="139" hidden="1">
      <c r="A139" s="7" t="n"/>
      <c r="B139" s="135" t="n"/>
      <c r="C139" s="135" t="n"/>
      <c r="D139" s="177" t="n"/>
      <c r="E139" s="12" t="n"/>
      <c r="F139" s="149" t="n"/>
      <c r="G139" s="149" t="n"/>
      <c r="H139" s="135" t="n"/>
      <c r="I139" s="13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</row>
    <row r="140" hidden="1">
      <c r="A140" s="7" t="n"/>
      <c r="B140" s="135" t="n"/>
      <c r="C140" s="135" t="n"/>
      <c r="D140" s="177" t="n"/>
      <c r="E140" s="12" t="n"/>
      <c r="F140" s="149" t="n"/>
      <c r="G140" s="149" t="n"/>
      <c r="H140" s="135" t="n"/>
      <c r="I140" s="13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</row>
    <row r="141" hidden="1">
      <c r="A141" s="7" t="n"/>
      <c r="B141" s="135" t="n"/>
      <c r="C141" s="135" t="n"/>
      <c r="D141" s="177" t="n"/>
      <c r="E141" s="12" t="n"/>
      <c r="F141" s="149" t="n"/>
      <c r="G141" s="149" t="n"/>
      <c r="H141" s="135" t="n"/>
      <c r="I141" s="13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</row>
    <row r="142" hidden="1">
      <c r="A142" s="7" t="n"/>
      <c r="B142" s="135" t="n"/>
      <c r="C142" s="135" t="n"/>
      <c r="D142" s="177" t="n"/>
      <c r="E142" s="12" t="n"/>
      <c r="F142" s="149" t="n"/>
      <c r="G142" s="149" t="n"/>
      <c r="H142" s="135" t="n"/>
      <c r="I142" s="13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</row>
    <row r="143" hidden="1">
      <c r="A143" s="7" t="n"/>
      <c r="B143" s="135" t="n"/>
      <c r="C143" s="135" t="n"/>
      <c r="D143" s="177" t="n"/>
      <c r="E143" s="12" t="n"/>
      <c r="F143" s="149" t="n"/>
      <c r="G143" s="149" t="n"/>
      <c r="H143" s="135" t="n"/>
      <c r="I143" s="13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</row>
    <row r="144" hidden="1">
      <c r="A144" s="7" t="n"/>
      <c r="B144" s="135" t="n"/>
      <c r="C144" s="135" t="n"/>
      <c r="D144" s="177" t="n"/>
      <c r="E144" s="12" t="n"/>
      <c r="F144" s="149" t="n"/>
      <c r="G144" s="149" t="n"/>
      <c r="H144" s="135" t="n"/>
      <c r="I144" s="13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</row>
    <row r="145" hidden="1">
      <c r="A145" s="7" t="n"/>
      <c r="B145" s="135" t="n"/>
      <c r="C145" s="135" t="n"/>
      <c r="D145" s="177" t="n"/>
      <c r="E145" s="12" t="n"/>
      <c r="F145" s="149" t="n"/>
      <c r="G145" s="149" t="n"/>
      <c r="H145" s="135" t="n"/>
      <c r="I145" s="13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</row>
    <row r="146" hidden="1">
      <c r="A146" s="7" t="n"/>
      <c r="B146" s="135" t="n"/>
      <c r="C146" s="135" t="n"/>
      <c r="D146" s="177" t="n"/>
      <c r="E146" s="12" t="n"/>
      <c r="F146" s="149" t="n"/>
      <c r="G146" s="149" t="n"/>
      <c r="H146" s="135" t="n"/>
      <c r="I146" s="13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</row>
    <row r="147" hidden="1">
      <c r="A147" s="7" t="n"/>
      <c r="B147" s="135" t="n"/>
      <c r="C147" s="135" t="n"/>
      <c r="D147" s="177" t="n"/>
      <c r="E147" s="12" t="n"/>
      <c r="F147" s="149" t="n"/>
      <c r="G147" s="149" t="n"/>
      <c r="H147" s="135" t="n"/>
      <c r="I147" s="13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</row>
    <row r="148" hidden="1">
      <c r="A148" s="7" t="n"/>
      <c r="B148" s="135" t="n"/>
      <c r="C148" s="135" t="n"/>
      <c r="D148" s="177" t="n"/>
      <c r="E148" s="12" t="n"/>
      <c r="F148" s="149" t="n"/>
      <c r="G148" s="149" t="n"/>
      <c r="H148" s="135" t="n"/>
      <c r="I148" s="13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</row>
    <row r="149" hidden="1">
      <c r="A149" s="7" t="n"/>
      <c r="B149" s="135" t="n"/>
      <c r="C149" s="135" t="n"/>
      <c r="D149" s="177" t="n"/>
      <c r="E149" s="12" t="n"/>
      <c r="F149" s="149" t="n"/>
      <c r="G149" s="149" t="n"/>
      <c r="H149" s="135" t="n"/>
      <c r="I149" s="13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</row>
    <row r="150" hidden="1">
      <c r="A150" s="7" t="n"/>
      <c r="B150" s="135" t="n"/>
      <c r="C150" s="135" t="n"/>
      <c r="D150" s="177" t="n"/>
      <c r="E150" s="12" t="n"/>
      <c r="F150" s="149" t="n"/>
      <c r="G150" s="149" t="n"/>
      <c r="H150" s="135" t="n"/>
      <c r="I150" s="13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</row>
    <row r="151" hidden="1">
      <c r="A151" s="7" t="n"/>
      <c r="B151" s="135" t="n"/>
      <c r="C151" s="135" t="n"/>
      <c r="D151" s="177" t="n"/>
      <c r="E151" s="12" t="n"/>
      <c r="F151" s="149" t="n"/>
      <c r="G151" s="149" t="n"/>
      <c r="H151" s="135" t="n"/>
      <c r="I151" s="13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</row>
    <row r="152" hidden="1">
      <c r="A152" s="7" t="n"/>
      <c r="B152" s="135" t="n"/>
      <c r="C152" s="135" t="n"/>
      <c r="D152" s="177" t="n"/>
      <c r="E152" s="12" t="n"/>
      <c r="F152" s="149" t="n"/>
      <c r="G152" s="149" t="n"/>
      <c r="H152" s="135" t="n"/>
      <c r="I152" s="13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</row>
    <row r="153" hidden="1">
      <c r="A153" s="7" t="n"/>
      <c r="B153" s="135" t="n"/>
      <c r="C153" s="135" t="n"/>
      <c r="D153" s="177" t="n"/>
      <c r="E153" s="12" t="n"/>
      <c r="F153" s="149" t="n"/>
      <c r="G153" s="149" t="n"/>
      <c r="H153" s="135" t="n"/>
      <c r="I153" s="13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</row>
    <row r="154" hidden="1">
      <c r="A154" s="7" t="n"/>
      <c r="B154" s="135" t="n"/>
      <c r="C154" s="135" t="n"/>
      <c r="D154" s="177" t="n"/>
      <c r="E154" s="12" t="n"/>
      <c r="F154" s="149" t="n"/>
      <c r="G154" s="149" t="n"/>
      <c r="H154" s="135" t="n"/>
      <c r="I154" s="13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</row>
    <row r="155" hidden="1">
      <c r="A155" s="7" t="n"/>
      <c r="B155" s="135" t="n"/>
      <c r="C155" s="135" t="n"/>
      <c r="D155" s="177" t="n"/>
      <c r="E155" s="12" t="n"/>
      <c r="F155" s="149" t="n"/>
      <c r="G155" s="149" t="n"/>
      <c r="H155" s="135" t="n"/>
      <c r="I155" s="13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</row>
    <row r="156" hidden="1">
      <c r="A156" s="7" t="n"/>
      <c r="B156" s="135" t="n"/>
      <c r="C156" s="135" t="n"/>
      <c r="D156" s="177" t="n"/>
      <c r="E156" s="12" t="n"/>
      <c r="F156" s="149" t="n"/>
      <c r="G156" s="149" t="n"/>
      <c r="H156" s="135" t="n"/>
      <c r="I156" s="13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</row>
    <row r="157" hidden="1">
      <c r="A157" s="7" t="n"/>
      <c r="B157" s="135" t="n"/>
      <c r="C157" s="135" t="n"/>
      <c r="D157" s="177" t="n"/>
      <c r="E157" s="12" t="n"/>
      <c r="F157" s="149" t="n"/>
      <c r="G157" s="149" t="n"/>
      <c r="H157" s="135" t="n"/>
      <c r="I157" s="13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</row>
    <row r="158" hidden="1">
      <c r="A158" s="7" t="n"/>
      <c r="B158" s="135" t="n"/>
      <c r="C158" s="135" t="n"/>
      <c r="D158" s="177" t="n"/>
      <c r="E158" s="12" t="n"/>
      <c r="F158" s="149" t="n"/>
      <c r="G158" s="149" t="n"/>
      <c r="H158" s="135" t="n"/>
      <c r="I158" s="13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</row>
    <row r="159" hidden="1">
      <c r="A159" s="7" t="n"/>
      <c r="B159" s="135" t="n"/>
      <c r="C159" s="135" t="n"/>
      <c r="D159" s="177" t="n"/>
      <c r="E159" s="12" t="n"/>
      <c r="F159" s="149" t="n"/>
      <c r="G159" s="149" t="n"/>
      <c r="H159" s="135" t="n"/>
      <c r="I159" s="13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</row>
    <row r="160">
      <c r="A160" s="14" t="n"/>
      <c r="B160" s="136" t="inlineStr">
        <is>
          <t>其他机构融资合计</t>
        </is>
      </c>
      <c r="C160" s="137" t="n"/>
      <c r="D160" s="178" t="n"/>
      <c r="E160" s="18" t="n"/>
      <c r="F160" s="150">
        <f>SUM(F120:F159)</f>
        <v/>
      </c>
      <c r="G160" s="150">
        <f>SUM(G120:G159)</f>
        <v/>
      </c>
      <c r="H160" s="137" t="n"/>
      <c r="I160" s="137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</row>
    <row r="161">
      <c r="A161" s="122" t="inlineStr">
        <is>
          <t>其他：</t>
        </is>
      </c>
      <c r="B161" s="7" t="n"/>
      <c r="C161" s="7" t="n"/>
      <c r="D161" s="176" t="n"/>
      <c r="E161" s="7" t="n"/>
      <c r="F161" s="148" t="n"/>
      <c r="G161" s="148" t="n"/>
      <c r="H161" s="7" t="n"/>
      <c r="I161" s="7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</row>
    <row r="162">
      <c r="A162" s="7" t="n"/>
      <c r="B162" s="135" t="n"/>
      <c r="C162" s="135" t="n"/>
      <c r="D162" s="177" t="n"/>
      <c r="E162" s="12" t="n"/>
      <c r="F162" s="149" t="n"/>
      <c r="G162" s="149" t="n"/>
      <c r="H162" s="135" t="n"/>
      <c r="I162" s="13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</row>
    <row r="163">
      <c r="A163" s="7" t="n"/>
      <c r="B163" s="135" t="n"/>
      <c r="C163" s="135" t="n"/>
      <c r="D163" s="177" t="n"/>
      <c r="E163" s="12" t="n"/>
      <c r="F163" s="149" t="n"/>
      <c r="G163" s="149" t="n"/>
      <c r="H163" s="135" t="n"/>
      <c r="I163" s="13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</row>
    <row r="164">
      <c r="A164" s="7" t="n"/>
      <c r="B164" s="135" t="n"/>
      <c r="C164" s="135" t="n"/>
      <c r="D164" s="177" t="n"/>
      <c r="E164" s="12" t="n"/>
      <c r="F164" s="149" t="n"/>
      <c r="G164" s="149" t="n"/>
      <c r="H164" s="135" t="n"/>
      <c r="I164" s="13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</row>
    <row r="165">
      <c r="A165" s="7" t="n"/>
      <c r="B165" s="135" t="n"/>
      <c r="C165" s="135" t="n"/>
      <c r="D165" s="177" t="n"/>
      <c r="E165" s="12" t="n"/>
      <c r="F165" s="149" t="n"/>
      <c r="G165" s="149" t="n"/>
      <c r="H165" s="135" t="n"/>
      <c r="I165" s="13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</row>
    <row r="166">
      <c r="A166" s="7" t="n"/>
      <c r="B166" s="135" t="n"/>
      <c r="C166" s="135" t="n"/>
      <c r="D166" s="177" t="n"/>
      <c r="E166" s="12" t="n"/>
      <c r="F166" s="149" t="n"/>
      <c r="G166" s="149" t="n"/>
      <c r="H166" s="135" t="n"/>
      <c r="I166" s="13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</row>
    <row r="167" hidden="1">
      <c r="A167" s="7" t="n"/>
      <c r="B167" s="135" t="n"/>
      <c r="C167" s="135" t="n"/>
      <c r="D167" s="177" t="n"/>
      <c r="E167" s="12" t="n"/>
      <c r="F167" s="149" t="n"/>
      <c r="G167" s="149" t="n"/>
      <c r="H167" s="135" t="n"/>
      <c r="I167" s="13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</row>
    <row r="168" hidden="1">
      <c r="A168" s="7" t="n"/>
      <c r="B168" s="135" t="n"/>
      <c r="C168" s="135" t="n"/>
      <c r="D168" s="177" t="n"/>
      <c r="E168" s="12" t="n"/>
      <c r="F168" s="149" t="n"/>
      <c r="G168" s="149" t="n"/>
      <c r="H168" s="135" t="n"/>
      <c r="I168" s="13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</row>
    <row r="169" hidden="1">
      <c r="A169" s="7" t="n"/>
      <c r="B169" s="135" t="n"/>
      <c r="C169" s="135" t="n"/>
      <c r="D169" s="177" t="n"/>
      <c r="E169" s="12" t="n"/>
      <c r="F169" s="149" t="n"/>
      <c r="G169" s="149" t="n"/>
      <c r="H169" s="135" t="n"/>
      <c r="I169" s="13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</row>
    <row r="170" hidden="1">
      <c r="A170" s="7" t="n"/>
      <c r="B170" s="135" t="n"/>
      <c r="C170" s="135" t="n"/>
      <c r="D170" s="177" t="n"/>
      <c r="E170" s="12" t="n"/>
      <c r="F170" s="149" t="n"/>
      <c r="G170" s="149" t="n"/>
      <c r="H170" s="135" t="n"/>
      <c r="I170" s="13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</row>
    <row r="171" hidden="1">
      <c r="A171" s="7" t="n"/>
      <c r="B171" s="135" t="n"/>
      <c r="C171" s="135" t="n"/>
      <c r="D171" s="177" t="n"/>
      <c r="E171" s="12" t="n"/>
      <c r="F171" s="149" t="n"/>
      <c r="G171" s="149" t="n"/>
      <c r="H171" s="135" t="n"/>
      <c r="I171" s="13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</row>
    <row r="172" hidden="1">
      <c r="A172" s="7" t="n"/>
      <c r="B172" s="135" t="n"/>
      <c r="C172" s="135" t="n"/>
      <c r="D172" s="177" t="n"/>
      <c r="E172" s="12" t="n"/>
      <c r="F172" s="149" t="n"/>
      <c r="G172" s="149" t="n"/>
      <c r="H172" s="135" t="n"/>
      <c r="I172" s="13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</row>
    <row r="173" hidden="1">
      <c r="A173" s="7" t="n"/>
      <c r="B173" s="135" t="n"/>
      <c r="C173" s="135" t="n"/>
      <c r="D173" s="177" t="n"/>
      <c r="E173" s="12" t="n"/>
      <c r="F173" s="149" t="n"/>
      <c r="G173" s="149" t="n"/>
      <c r="H173" s="135" t="n"/>
      <c r="I173" s="13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</row>
    <row r="174" hidden="1">
      <c r="A174" s="7" t="n"/>
      <c r="B174" s="135" t="n"/>
      <c r="C174" s="135" t="n"/>
      <c r="D174" s="177" t="n"/>
      <c r="E174" s="12" t="n"/>
      <c r="F174" s="149" t="n"/>
      <c r="G174" s="149" t="n"/>
      <c r="H174" s="135" t="n"/>
      <c r="I174" s="13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</row>
    <row r="175" hidden="1">
      <c r="A175" s="7" t="n"/>
      <c r="B175" s="135" t="n"/>
      <c r="C175" s="135" t="n"/>
      <c r="D175" s="177" t="n"/>
      <c r="E175" s="12" t="n"/>
      <c r="F175" s="149" t="n"/>
      <c r="G175" s="149" t="n"/>
      <c r="H175" s="135" t="n"/>
      <c r="I175" s="13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</row>
    <row r="176" hidden="1">
      <c r="A176" s="7" t="n"/>
      <c r="B176" s="135" t="n"/>
      <c r="C176" s="135" t="n"/>
      <c r="D176" s="177" t="n"/>
      <c r="E176" s="12" t="n"/>
      <c r="F176" s="149" t="n"/>
      <c r="G176" s="149" t="n"/>
      <c r="H176" s="135" t="n"/>
      <c r="I176" s="13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</row>
    <row r="177" hidden="1">
      <c r="A177" s="7" t="n"/>
      <c r="B177" s="135" t="n"/>
      <c r="C177" s="135" t="n"/>
      <c r="D177" s="177" t="n"/>
      <c r="E177" s="12" t="n"/>
      <c r="F177" s="149" t="n"/>
      <c r="G177" s="149" t="n"/>
      <c r="H177" s="135" t="n"/>
      <c r="I177" s="13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</row>
    <row r="178" hidden="1">
      <c r="A178" s="7" t="n"/>
      <c r="B178" s="135" t="n"/>
      <c r="C178" s="135" t="n"/>
      <c r="D178" s="177" t="n"/>
      <c r="E178" s="12" t="n"/>
      <c r="F178" s="149" t="n"/>
      <c r="G178" s="149" t="n"/>
      <c r="H178" s="135" t="n"/>
      <c r="I178" s="13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</row>
    <row r="179" hidden="1">
      <c r="A179" s="7" t="n"/>
      <c r="B179" s="135" t="n"/>
      <c r="C179" s="135" t="n"/>
      <c r="D179" s="177" t="n"/>
      <c r="E179" s="12" t="n"/>
      <c r="F179" s="149" t="n"/>
      <c r="G179" s="149" t="n"/>
      <c r="H179" s="135" t="n"/>
      <c r="I179" s="13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</row>
    <row r="180" hidden="1">
      <c r="A180" s="7" t="n"/>
      <c r="B180" s="135" t="n"/>
      <c r="C180" s="135" t="n"/>
      <c r="D180" s="177" t="n"/>
      <c r="E180" s="12" t="n"/>
      <c r="F180" s="149" t="n"/>
      <c r="G180" s="149" t="n"/>
      <c r="H180" s="135" t="n"/>
      <c r="I180" s="13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</row>
    <row r="181" hidden="1">
      <c r="A181" s="7" t="n"/>
      <c r="B181" s="135" t="n"/>
      <c r="C181" s="135" t="n"/>
      <c r="D181" s="177" t="n"/>
      <c r="E181" s="12" t="n"/>
      <c r="F181" s="149" t="n"/>
      <c r="G181" s="149" t="n"/>
      <c r="H181" s="135" t="n"/>
      <c r="I181" s="13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</row>
    <row r="182" hidden="1">
      <c r="A182" s="7" t="n"/>
      <c r="B182" s="135" t="n"/>
      <c r="C182" s="135" t="n"/>
      <c r="D182" s="177" t="n"/>
      <c r="E182" s="12" t="n"/>
      <c r="F182" s="149" t="n"/>
      <c r="G182" s="149" t="n"/>
      <c r="H182" s="135" t="n"/>
      <c r="I182" s="13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</row>
    <row r="183" hidden="1">
      <c r="A183" s="7" t="n"/>
      <c r="B183" s="135" t="n"/>
      <c r="C183" s="135" t="n"/>
      <c r="D183" s="177" t="n"/>
      <c r="E183" s="12" t="n"/>
      <c r="F183" s="149" t="n"/>
      <c r="G183" s="149" t="n"/>
      <c r="H183" s="135" t="n"/>
      <c r="I183" s="13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</row>
    <row r="184" hidden="1">
      <c r="A184" s="7" t="n"/>
      <c r="B184" s="135" t="n"/>
      <c r="C184" s="135" t="n"/>
      <c r="D184" s="177" t="n"/>
      <c r="E184" s="12" t="n"/>
      <c r="F184" s="149" t="n"/>
      <c r="G184" s="149" t="n"/>
      <c r="H184" s="135" t="n"/>
      <c r="I184" s="13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</row>
    <row r="185" hidden="1">
      <c r="A185" s="7" t="n"/>
      <c r="B185" s="135" t="n"/>
      <c r="C185" s="135" t="n"/>
      <c r="D185" s="177" t="n"/>
      <c r="E185" s="12" t="n"/>
      <c r="F185" s="149" t="n"/>
      <c r="G185" s="149" t="n"/>
      <c r="H185" s="135" t="n"/>
      <c r="I185" s="13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</row>
    <row r="186" hidden="1">
      <c r="A186" s="7" t="n"/>
      <c r="B186" s="135" t="n"/>
      <c r="C186" s="135" t="n"/>
      <c r="D186" s="177" t="n"/>
      <c r="E186" s="12" t="n"/>
      <c r="F186" s="149" t="n"/>
      <c r="G186" s="149" t="n"/>
      <c r="H186" s="135" t="n"/>
      <c r="I186" s="13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</row>
    <row r="187" hidden="1">
      <c r="A187" s="7" t="n"/>
      <c r="B187" s="135" t="n"/>
      <c r="C187" s="135" t="n"/>
      <c r="D187" s="177" t="n"/>
      <c r="E187" s="12" t="n"/>
      <c r="F187" s="149" t="n"/>
      <c r="G187" s="149" t="n"/>
      <c r="H187" s="135" t="n"/>
      <c r="I187" s="13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</row>
    <row r="188" hidden="1">
      <c r="A188" s="7" t="n"/>
      <c r="B188" s="135" t="n"/>
      <c r="C188" s="135" t="n"/>
      <c r="D188" s="177" t="n"/>
      <c r="E188" s="12" t="n"/>
      <c r="F188" s="149" t="n"/>
      <c r="G188" s="149" t="n"/>
      <c r="H188" s="135" t="n"/>
      <c r="I188" s="13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</row>
    <row r="189" hidden="1">
      <c r="A189" s="7" t="n"/>
      <c r="B189" s="135" t="n"/>
      <c r="C189" s="135" t="n"/>
      <c r="D189" s="177" t="n"/>
      <c r="E189" s="12" t="n"/>
      <c r="F189" s="149" t="n"/>
      <c r="G189" s="149" t="n"/>
      <c r="H189" s="135" t="n"/>
      <c r="I189" s="13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</row>
    <row r="190" hidden="1">
      <c r="A190" s="7" t="n"/>
      <c r="B190" s="135" t="n"/>
      <c r="C190" s="135" t="n"/>
      <c r="D190" s="177" t="n"/>
      <c r="E190" s="12" t="n"/>
      <c r="F190" s="149" t="n"/>
      <c r="G190" s="149" t="n"/>
      <c r="H190" s="135" t="n"/>
      <c r="I190" s="13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</row>
    <row r="191" hidden="1">
      <c r="A191" s="7" t="n"/>
      <c r="B191" s="135" t="n"/>
      <c r="C191" s="135" t="n"/>
      <c r="D191" s="177" t="n"/>
      <c r="E191" s="12" t="n"/>
      <c r="F191" s="149" t="n"/>
      <c r="G191" s="149" t="n"/>
      <c r="H191" s="135" t="n"/>
      <c r="I191" s="13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</row>
    <row r="192">
      <c r="A192" s="14" t="n"/>
      <c r="B192" s="136" t="inlineStr">
        <is>
          <t>其他合计</t>
        </is>
      </c>
      <c r="C192" s="137" t="n"/>
      <c r="D192" s="178" t="n"/>
      <c r="E192" s="18" t="n"/>
      <c r="F192" s="150">
        <f>SUM(F162:F191)</f>
        <v/>
      </c>
      <c r="G192" s="150">
        <f>SUM(G162:G191)</f>
        <v/>
      </c>
      <c r="H192" s="137" t="n"/>
      <c r="I192" s="137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</row>
    <row r="193">
      <c r="A193" s="136" t="inlineStr">
        <is>
          <t>负息负债净值</t>
        </is>
      </c>
      <c r="B193" s="155" t="n"/>
      <c r="C193" s="137" t="n"/>
      <c r="D193" s="178" t="n"/>
      <c r="E193" s="137" t="n"/>
      <c r="F193" s="150">
        <f>F66+F118+F160+F192</f>
        <v/>
      </c>
      <c r="G193" s="150">
        <f>G66+G118+G160+G192</f>
        <v/>
      </c>
      <c r="H193" s="137" t="n"/>
      <c r="I193" s="137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F563"/>
  <mergeCells count="3">
    <mergeCell ref="A1:I1"/>
    <mergeCell ref="A193:B193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AssetAppraisal</dc:creator>
  <dc:title xmlns:dc="http://purl.org/dc/elements/1.1/">通用资产评估工作簿模板</dc:title>
  <dc:description xmlns:dc="http://purl.org/dc/elements/1.1/">运行时仅写入当前材料中有证据支持的数据</dc:description>
  <dc:subject xmlns:dc="http://purl.org/dc/elements/1.1/">公司无关的 Sheet 结构、字段角色和公式链</dc:subject>
  <dcterms:created xmlns:dcterms="http://purl.org/dc/terms/" xmlns:xsi="http://www.w3.org/2001/XMLSchema-instance" xsi:type="dcterms:W3CDTF">2025-12-28T05:45:00Z</dcterms:created>
  <dcterms:modified xmlns:dcterms="http://purl.org/dc/terms/" xmlns:xsi="http://www.w3.org/2001/XMLSchema-instance" xsi:type="dcterms:W3CDTF">2026-09-07T01:58:30Z</dcterms:modified>
  <cp:lastModifiedBy>AssetAppraisal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5017F3C80AA94BB297227FB1C1A49CF5_12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</Properties>
</file>